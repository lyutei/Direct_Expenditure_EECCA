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xr:revisionPtr revIDLastSave="0" documentId="8_{DFB8901C-C7F2-4471-B98C-4902F0B94924}" xr6:coauthVersionLast="47" xr6:coauthVersionMax="47" xr10:uidLastSave="{00000000-0000-0000-0000-000000000000}"/>
  <bookViews>
    <workbookView xWindow="240" yWindow="105" windowWidth="14805" windowHeight="8010" xr2:uid="{00000000-000D-0000-FFFF-FFFF00000000}"/>
  </bookViews>
  <sheets>
    <sheet name="GCHCFS &amp; Total Direct Exp." sheetId="3" r:id="rId1"/>
    <sheet name="Longitudinal Exp." sheetId="2" r:id="rId2"/>
    <sheet name="OOP Exp." sheetId="1" r:id="rId3"/>
    <sheet name="Per-Component Exp." sheetId="4" r:id="rId4"/>
    <sheet name="Estonia, Slovaki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 i="3" l="1"/>
  <c r="H6" i="3"/>
  <c r="H4" i="3"/>
  <c r="G5" i="3"/>
  <c r="B26" i="5"/>
  <c r="E26" i="5"/>
  <c r="E23" i="5"/>
  <c r="E24" i="5"/>
  <c r="E25" i="5"/>
  <c r="E27" i="5"/>
  <c r="E22" i="5"/>
  <c r="D27" i="5"/>
  <c r="C27" i="5"/>
  <c r="B27" i="5"/>
  <c r="D25" i="5"/>
  <c r="C25" i="5"/>
  <c r="B25" i="5"/>
  <c r="D24" i="5"/>
  <c r="C24" i="5"/>
  <c r="B24" i="5"/>
  <c r="D23" i="5"/>
  <c r="C23" i="5"/>
  <c r="B23" i="5"/>
  <c r="D22" i="5"/>
  <c r="C22" i="5"/>
  <c r="B22" i="5"/>
  <c r="O5" i="4"/>
  <c r="H34" i="2"/>
  <c r="L56" i="2"/>
  <c r="L57" i="2"/>
  <c r="L58" i="2"/>
  <c r="L59" i="2"/>
  <c r="L60" i="2"/>
  <c r="L55" i="2"/>
  <c r="J56" i="2"/>
  <c r="J57" i="2"/>
  <c r="J58" i="2"/>
  <c r="J59" i="2"/>
  <c r="J60" i="2"/>
  <c r="J55" i="2"/>
  <c r="H60" i="2"/>
  <c r="H59" i="2"/>
  <c r="H58" i="2"/>
  <c r="H57" i="2"/>
  <c r="H56" i="2"/>
  <c r="H55" i="2"/>
  <c r="L47" i="2"/>
  <c r="L48" i="2"/>
  <c r="L49" i="2"/>
  <c r="L50" i="2"/>
  <c r="L51" i="2"/>
  <c r="L46" i="2"/>
  <c r="J47" i="2"/>
  <c r="J48" i="2"/>
  <c r="J49" i="2"/>
  <c r="J50" i="2"/>
  <c r="J51" i="2"/>
  <c r="J46" i="2"/>
  <c r="H51" i="2"/>
  <c r="H50" i="2"/>
  <c r="H49" i="2"/>
  <c r="H48" i="2"/>
  <c r="H47" i="2"/>
  <c r="H46" i="2"/>
  <c r="L39" i="2"/>
  <c r="L40" i="2"/>
  <c r="L41" i="2"/>
  <c r="L42" i="2"/>
  <c r="L38" i="2"/>
  <c r="J39" i="2"/>
  <c r="J40" i="2"/>
  <c r="J41" i="2"/>
  <c r="J42" i="2"/>
  <c r="J38" i="2"/>
  <c r="H42" i="2"/>
  <c r="H41" i="2"/>
  <c r="H39" i="2"/>
  <c r="H40" i="2"/>
  <c r="H38" i="2"/>
  <c r="J34" i="2"/>
  <c r="J33" i="2"/>
  <c r="J32" i="2"/>
  <c r="J31" i="2"/>
  <c r="J30" i="2"/>
  <c r="J29" i="2"/>
  <c r="J28" i="2"/>
  <c r="H33" i="2"/>
  <c r="H32" i="2"/>
  <c r="H31" i="2"/>
  <c r="H30" i="2"/>
  <c r="H29" i="2"/>
  <c r="H28" i="2"/>
  <c r="L29" i="2"/>
  <c r="L30" i="2"/>
  <c r="L31" i="2"/>
  <c r="L32" i="2"/>
  <c r="L33" i="2"/>
  <c r="L34" i="2"/>
  <c r="L28" i="2"/>
  <c r="L14" i="2"/>
  <c r="L19" i="2"/>
  <c r="L20" i="2"/>
  <c r="L21" i="2"/>
  <c r="L22" i="2"/>
  <c r="L23" i="2"/>
  <c r="L24" i="2"/>
  <c r="L18" i="2"/>
  <c r="J19" i="2"/>
  <c r="J20" i="2"/>
  <c r="J21" i="2"/>
  <c r="J22" i="2"/>
  <c r="J23" i="2"/>
  <c r="J24" i="2"/>
  <c r="J18" i="2"/>
  <c r="H18" i="2"/>
  <c r="H19" i="2"/>
  <c r="H20" i="2"/>
  <c r="H21" i="2"/>
  <c r="H22" i="2"/>
  <c r="H24" i="2"/>
  <c r="H23" i="2"/>
  <c r="B28" i="2"/>
  <c r="H7" i="2"/>
  <c r="H6" i="2"/>
  <c r="H5" i="2"/>
  <c r="H4" i="2"/>
  <c r="B34" i="2"/>
  <c r="B33" i="2"/>
  <c r="B32" i="2"/>
  <c r="B30" i="2"/>
  <c r="B31" i="2"/>
  <c r="B29" i="2"/>
  <c r="E3" i="5"/>
  <c r="E4" i="5"/>
  <c r="E5" i="5"/>
  <c r="E6" i="5"/>
  <c r="E7" i="5"/>
  <c r="E8" i="5"/>
  <c r="B24" i="2"/>
  <c r="H14" i="2"/>
  <c r="J14" i="2" s="1"/>
  <c r="H13" i="2"/>
  <c r="J13" i="2" s="1"/>
  <c r="L13" i="2" s="1"/>
  <c r="H12" i="2"/>
  <c r="J12" i="2" s="1"/>
  <c r="L12" i="2" s="1"/>
  <c r="H11" i="2"/>
  <c r="J11" i="2" s="1"/>
  <c r="L11" i="2" s="1"/>
  <c r="J7" i="2"/>
  <c r="L7" i="2" s="1"/>
  <c r="B6" i="2"/>
  <c r="J6" i="2" s="1"/>
  <c r="L6" i="2" s="1"/>
  <c r="B5" i="2"/>
  <c r="J5" i="2" s="1"/>
  <c r="L5" i="2" s="1"/>
  <c r="B4" i="2"/>
  <c r="J4" i="2" s="1"/>
  <c r="L4" i="2" s="1"/>
  <c r="I17" i="4"/>
  <c r="F14" i="4"/>
  <c r="E10" i="3"/>
  <c r="I6" i="4"/>
  <c r="I7" i="4" s="1"/>
  <c r="F7" i="4"/>
  <c r="E14" i="3"/>
  <c r="G6" i="3"/>
  <c r="E4" i="3"/>
  <c r="G4" i="3" s="1"/>
  <c r="I6" i="3"/>
  <c r="G8" i="3"/>
  <c r="H8" i="3" s="1"/>
  <c r="I8" i="3" s="1"/>
  <c r="G9" i="3"/>
  <c r="H9" i="3" s="1"/>
  <c r="I9" i="3" s="1"/>
  <c r="G12" i="3"/>
  <c r="H12" i="3" s="1"/>
  <c r="I12" i="3" s="1"/>
  <c r="G13" i="3"/>
  <c r="H13" i="3" s="1"/>
  <c r="I13" i="3" s="1"/>
  <c r="G14" i="3"/>
  <c r="H14" i="3" s="1"/>
  <c r="I14" i="3" s="1"/>
  <c r="G16" i="3"/>
  <c r="H16" i="3" s="1"/>
  <c r="I16" i="3" s="1"/>
  <c r="G17" i="3"/>
  <c r="H17" i="3" s="1"/>
  <c r="I17" i="3" s="1"/>
  <c r="G18" i="3"/>
  <c r="H18" i="3" s="1"/>
  <c r="I18" i="3" s="1"/>
  <c r="G19" i="3"/>
  <c r="H19" i="3" s="1"/>
  <c r="I19" i="3" s="1"/>
  <c r="G20" i="3"/>
  <c r="H20" i="3" s="1"/>
  <c r="I20" i="3" s="1"/>
  <c r="G21" i="3"/>
  <c r="H21" i="3" s="1"/>
  <c r="I21" i="3" s="1"/>
  <c r="E15" i="3"/>
  <c r="G15" i="3" s="1"/>
  <c r="H15" i="3" s="1"/>
  <c r="I15" i="3" s="1"/>
  <c r="G10" i="3"/>
  <c r="H10" i="3" s="1"/>
  <c r="I10" i="3" s="1"/>
  <c r="L10" i="3" s="1"/>
  <c r="E7" i="3"/>
  <c r="G7" i="3" s="1"/>
  <c r="H7" i="3" s="1"/>
  <c r="I7" i="3" s="1"/>
  <c r="E11" i="3"/>
  <c r="G11" i="3" s="1"/>
  <c r="H11" i="3" s="1"/>
  <c r="I11" i="3" s="1"/>
  <c r="L11" i="3" s="1"/>
  <c r="L21" i="3" l="1"/>
  <c r="J21" i="3"/>
  <c r="J11" i="3"/>
  <c r="L7" i="3"/>
  <c r="J7" i="3"/>
  <c r="J10" i="3"/>
  <c r="L15" i="3"/>
  <c r="J15" i="3"/>
  <c r="L20" i="3"/>
  <c r="J20" i="3"/>
  <c r="L19" i="3"/>
  <c r="J19" i="3"/>
  <c r="L18" i="3"/>
  <c r="J18" i="3"/>
  <c r="L17" i="3"/>
  <c r="J17" i="3"/>
  <c r="L16" i="3"/>
  <c r="J16" i="3"/>
  <c r="L14" i="3"/>
  <c r="J14" i="3"/>
  <c r="L13" i="3"/>
  <c r="J13" i="3"/>
  <c r="L12" i="3"/>
  <c r="J12" i="3"/>
  <c r="L9" i="3"/>
  <c r="J9" i="3"/>
  <c r="L8" i="3"/>
  <c r="J8" i="3"/>
  <c r="J6" i="3"/>
  <c r="L6" i="3"/>
  <c r="I5" i="3"/>
  <c r="L5" i="3" s="1"/>
  <c r="I4" i="3"/>
  <c r="L4" i="3" s="1"/>
  <c r="J4" i="3" l="1"/>
  <c r="J5" i="3"/>
</calcChain>
</file>

<file path=xl/sharedStrings.xml><?xml version="1.0" encoding="utf-8"?>
<sst xmlns="http://schemas.openxmlformats.org/spreadsheetml/2006/main" count="394" uniqueCount="218">
  <si>
    <r>
      <rPr>
        <b/>
        <sz val="11"/>
        <color rgb="FF44546A"/>
        <rFont val="Calibri"/>
        <scheme val="minor"/>
      </rPr>
      <t xml:space="preserve">Government and Compulsory Health Care Financing Schemes (GCHCFS) </t>
    </r>
    <r>
      <rPr>
        <sz val="11"/>
        <color rgb="FF44546A"/>
        <rFont val="Calibri"/>
        <scheme val="minor"/>
      </rPr>
      <t>refer to the health financing schemes that come from the direct government budget allocations, compulsory social or compulsory private health insurance schemes, or mandatory medical saving accounts</t>
    </r>
  </si>
  <si>
    <r>
      <t xml:space="preserve">Out-of-pocket (OOP) Payments </t>
    </r>
    <r>
      <rPr>
        <sz val="11"/>
        <color rgb="FF44546A"/>
        <rFont val="Calibri"/>
        <charset val="1"/>
      </rPr>
      <t>is a type of financing scheme where households pay out of their pocket for the medical service</t>
    </r>
  </si>
  <si>
    <t>Country</t>
  </si>
  <si>
    <t>Latest Data Year</t>
  </si>
  <si>
    <t>Population, 2024</t>
  </si>
  <si>
    <t>Currency</t>
  </si>
  <si>
    <t>GCHCFS Expenditure (LCU)</t>
  </si>
  <si>
    <t>PPP Conversion Factor (from World Bank)</t>
  </si>
  <si>
    <t>PPP USD</t>
  </si>
  <si>
    <t>OOP Expenditure</t>
  </si>
  <si>
    <t>Total Direct Cancer Exp (GCHCFS+OOP)</t>
  </si>
  <si>
    <t>Per Capita</t>
  </si>
  <si>
    <t>Incidence 2024 (GLOBACAN 2024)</t>
  </si>
  <si>
    <t>Per-Case</t>
  </si>
  <si>
    <t>Comments</t>
  </si>
  <si>
    <t>Afghanistan</t>
  </si>
  <si>
    <t>US Dollars</t>
  </si>
  <si>
    <t>2021 USD expenditure was turned into local afghani, inflated to 2024, and turned into $PPP. The value in E3 is already converted; the original value is: 274634.09 USD in 2021 (ehoch includes OOP and GCHCFS)</t>
  </si>
  <si>
    <t>Armenia</t>
  </si>
  <si>
    <t>Armenian Dram</t>
  </si>
  <si>
    <t xml:space="preserve">For Armenia, OOP payments are officially reported on a disease level, including cancer. However, we also use the data from the GHED database, which totals 80%. </t>
  </si>
  <si>
    <t>Azerbaijan</t>
  </si>
  <si>
    <t>Azerbaijani Manat</t>
  </si>
  <si>
    <t>Belarus</t>
  </si>
  <si>
    <t>Belarusian ruble</t>
  </si>
  <si>
    <t>Estonia</t>
  </si>
  <si>
    <t>Euro</t>
  </si>
  <si>
    <t>Georgia</t>
  </si>
  <si>
    <t>Georgian Lari</t>
  </si>
  <si>
    <t>Kazakhstan</t>
  </si>
  <si>
    <t>Kazakh Tenge</t>
  </si>
  <si>
    <t>Kyrgyzstan</t>
  </si>
  <si>
    <t>Kyrgyz Som</t>
  </si>
  <si>
    <t>Latvia</t>
  </si>
  <si>
    <t>Lithuania</t>
  </si>
  <si>
    <t>Republic of Moldova</t>
  </si>
  <si>
    <t>Moldovan Lei</t>
  </si>
  <si>
    <t>Russian Federation</t>
  </si>
  <si>
    <t>Russian Rubles</t>
  </si>
  <si>
    <t>Slovakia</t>
  </si>
  <si>
    <t>Slovenia</t>
  </si>
  <si>
    <t>Tajikistan</t>
  </si>
  <si>
    <t>Tajik Somoni</t>
  </si>
  <si>
    <t>Data is modelled based on 7 countries</t>
  </si>
  <si>
    <t>Turkmenistan</t>
  </si>
  <si>
    <t>Turkmen Manat</t>
  </si>
  <si>
    <t>Ukraine</t>
  </si>
  <si>
    <t>Ukrainan Griven</t>
  </si>
  <si>
    <t>Uzbekistan</t>
  </si>
  <si>
    <t>Uzbek Sum</t>
  </si>
  <si>
    <t xml:space="preserve">The sources of expenditure and currency conversion data and forumals are written in the main text and supplementary material. </t>
  </si>
  <si>
    <r>
      <rPr>
        <b/>
        <sz val="11"/>
        <color theme="3"/>
        <rFont val="Calibri"/>
        <scheme val="minor"/>
      </rPr>
      <t xml:space="preserve">Government and Compulsory Health Care Financing Schemes (GCHCFS) </t>
    </r>
    <r>
      <rPr>
        <sz val="11"/>
        <color theme="3"/>
        <rFont val="Calibri"/>
        <scheme val="minor"/>
      </rPr>
      <t xml:space="preserve">refer to the health financing schemes that come from the direct government budget allocations, compulsory social or compulsory private health insurance schemes, or mandatory medical saving accounts. Here, we inflate all years to 2024 for data comparability between years. The data is also transformed into PPP$ for comparability between the countries. </t>
    </r>
  </si>
  <si>
    <t>Year</t>
  </si>
  <si>
    <t>Expenditure (Dram)</t>
  </si>
  <si>
    <t>2019→2020</t>
  </si>
  <si>
    <t>2020→2021</t>
  </si>
  <si>
    <t>2021→2022</t>
  </si>
  <si>
    <t>2022→2023</t>
  </si>
  <si>
    <t>2023→2024</t>
  </si>
  <si>
    <t>Inflated</t>
  </si>
  <si>
    <t>PPP factor</t>
  </si>
  <si>
    <t>PPP $</t>
  </si>
  <si>
    <t>Population</t>
  </si>
  <si>
    <t>Adj for Population</t>
  </si>
  <si>
    <t>Expenditure (EUR)</t>
  </si>
  <si>
    <t xml:space="preserve">Adj for Population </t>
  </si>
  <si>
    <t>Expenditure (Tenge)</t>
  </si>
  <si>
    <t>Russia</t>
  </si>
  <si>
    <t>Expenditure (Ruble)</t>
  </si>
  <si>
    <t>1.04852053 is an inflation factor from 2024 to 2025. Since the base year is 2024, we convert 2025 expenditure to 2024</t>
  </si>
  <si>
    <t>Moldova</t>
  </si>
  <si>
    <t>Expenditure (Griven)</t>
  </si>
  <si>
    <t>1.14473898  is an inflation factor from 2024 to 2025. Since the base year is 2024, we convert 2025 expenditure to 2024</t>
  </si>
  <si>
    <t>Expenditure (Eur)</t>
  </si>
  <si>
    <t>1.03842884 is an inflation factor from 2024 to 2025. Since the base year is 2024, we convert 2025 expenditure to 2024</t>
  </si>
  <si>
    <t>Per-Capita Cancer Expenditure, Longitudinal Data, (PPP USD)</t>
  </si>
  <si>
    <r>
      <rPr>
        <b/>
        <sz val="11"/>
        <color rgb="FF44546A"/>
        <rFont val="Calibri"/>
        <scheme val="minor"/>
      </rPr>
      <t xml:space="preserve">Out-of-pocket (OOP) Payments </t>
    </r>
    <r>
      <rPr>
        <sz val="11"/>
        <color rgb="FF44546A"/>
        <rFont val="Calibri"/>
        <scheme val="minor"/>
      </rPr>
      <t>is a type of financing scheme where households pay out of their pocket for the medical service</t>
    </r>
  </si>
  <si>
    <t>OOP Expenditure as % of CHE</t>
  </si>
  <si>
    <t>Further Comments</t>
  </si>
  <si>
    <t>The OOP data is taken from the 2021 National Health Accounts of Afghanistan (77.2%)</t>
  </si>
  <si>
    <t>Cancer-specific OOP expenditure is also availble from the 2024 National Health Accounts of Armenia, which is 90.8% of the direct cancer expenditure. However, we used the GHED80% data for data comparability.</t>
  </si>
  <si>
    <t>GHED Data</t>
  </si>
  <si>
    <r>
      <rPr>
        <sz val="11"/>
        <color rgb="FF4472C4"/>
        <rFont val="Calibri"/>
        <scheme val="minor"/>
      </rPr>
      <t xml:space="preserve">Some countries either provided us or official reported expenditure per cancer component. For data comparability, we divide cancer expenditure into </t>
    </r>
    <r>
      <rPr>
        <b/>
        <sz val="11"/>
        <color rgb="FF4472C4"/>
        <rFont val="Calibri"/>
        <scheme val="minor"/>
      </rPr>
      <t>3 components: screening, pharmaceuticals, and other medical services</t>
    </r>
    <r>
      <rPr>
        <sz val="11"/>
        <color rgb="FF4472C4"/>
        <rFont val="Calibri"/>
        <scheme val="minor"/>
      </rPr>
      <t>. "Other medical services" generally includes inpatient and outpatient cancer expenditure. For some countries, only pharmaceutical expenditure was available, while for others only screening expenditure was available.  Here only GCHCFS expenditure is grasped. Only for Armenia, per-component expenditure also includes OOP.</t>
    </r>
  </si>
  <si>
    <t>key</t>
  </si>
  <si>
    <t>2024 LCU</t>
  </si>
  <si>
    <t>2024, LCU</t>
  </si>
  <si>
    <t>2024, Mill LCU</t>
  </si>
  <si>
    <t>green - other medical services</t>
  </si>
  <si>
    <t>Screening</t>
  </si>
  <si>
    <t>Hospital Care</t>
  </si>
  <si>
    <t>Medication</t>
  </si>
  <si>
    <t>blue - pharmaceuticals</t>
  </si>
  <si>
    <t>Other Medical Services</t>
  </si>
  <si>
    <t>Outpatient</t>
  </si>
  <si>
    <t>Other Services</t>
  </si>
  <si>
    <t>orange - screening</t>
  </si>
  <si>
    <t>Medicines</t>
  </si>
  <si>
    <t>Expensive Medicines</t>
  </si>
  <si>
    <t>Total</t>
  </si>
  <si>
    <t>LCU - Local Currency Units</t>
  </si>
  <si>
    <t>Others</t>
  </si>
  <si>
    <t>2024 LCU, not USD</t>
  </si>
  <si>
    <t>2023, million LCU</t>
  </si>
  <si>
    <t>Prevention</t>
  </si>
  <si>
    <t>NA</t>
  </si>
  <si>
    <t>Medicine</t>
  </si>
  <si>
    <t>Inpatient</t>
  </si>
  <si>
    <t>Pharmaceuticals</t>
  </si>
  <si>
    <t xml:space="preserve">Other: </t>
  </si>
  <si>
    <t>Pharamceuticals</t>
  </si>
  <si>
    <t>Total before modeling</t>
  </si>
  <si>
    <t>Estonia, Longitudinal Per-Component Expenditure, NOT INFLATED</t>
  </si>
  <si>
    <t>Slovakia, Longitudinal Per-Cancer Diagnosis Expenditure, NOT INFLATED</t>
  </si>
  <si>
    <t>Slovakia, Linked-Series Deflator</t>
  </si>
  <si>
    <t>Medical care</t>
  </si>
  <si>
    <t>ICD-10 (3-miestny)</t>
  </si>
  <si>
    <t>2020 (EUR)</t>
  </si>
  <si>
    <t>2021 (EUR)</t>
  </si>
  <si>
    <t>2022 (EUR)</t>
  </si>
  <si>
    <t>2023 (EUR)</t>
  </si>
  <si>
    <t>2020</t>
  </si>
  <si>
    <t>C00</t>
  </si>
  <si>
    <t>2021</t>
  </si>
  <si>
    <t>C01</t>
  </si>
  <si>
    <t>2022</t>
  </si>
  <si>
    <t>C02</t>
  </si>
  <si>
    <t>The deflator was applied and the results were then plotted in R</t>
  </si>
  <si>
    <t>2023</t>
  </si>
  <si>
    <t>C03</t>
  </si>
  <si>
    <t>2024</t>
  </si>
  <si>
    <t>C04</t>
  </si>
  <si>
    <t>2025</t>
  </si>
  <si>
    <t>C05</t>
  </si>
  <si>
    <t>C06</t>
  </si>
  <si>
    <t>Estonia, Linked-Series Deflators</t>
  </si>
  <si>
    <t>C07</t>
  </si>
  <si>
    <t>C08</t>
  </si>
  <si>
    <t>C09</t>
  </si>
  <si>
    <t>C10</t>
  </si>
  <si>
    <t>C11</t>
  </si>
  <si>
    <t>C12</t>
  </si>
  <si>
    <t>C13</t>
  </si>
  <si>
    <t>C14</t>
  </si>
  <si>
    <t>C15</t>
  </si>
  <si>
    <t>C16</t>
  </si>
  <si>
    <t>Estonia, Inflated in Euro</t>
  </si>
  <si>
    <t>C17</t>
  </si>
  <si>
    <t>C18</t>
  </si>
  <si>
    <t>C19</t>
  </si>
  <si>
    <t>C20</t>
  </si>
  <si>
    <t>C21</t>
  </si>
  <si>
    <t>C22</t>
  </si>
  <si>
    <t>C23</t>
  </si>
  <si>
    <t>C24</t>
  </si>
  <si>
    <t>C25</t>
  </si>
  <si>
    <t>C26</t>
  </si>
  <si>
    <t>C30</t>
  </si>
  <si>
    <t>C31</t>
  </si>
  <si>
    <t>C32</t>
  </si>
  <si>
    <t>C33</t>
  </si>
  <si>
    <t>C34</t>
  </si>
  <si>
    <t>C37</t>
  </si>
  <si>
    <t>C38</t>
  </si>
  <si>
    <t>C39</t>
  </si>
  <si>
    <t>C40</t>
  </si>
  <si>
    <t>C41</t>
  </si>
  <si>
    <t>C43</t>
  </si>
  <si>
    <t>C44</t>
  </si>
  <si>
    <t>C45</t>
  </si>
  <si>
    <t>C46</t>
  </si>
  <si>
    <t>C47</t>
  </si>
  <si>
    <t>C48</t>
  </si>
  <si>
    <t>C49</t>
  </si>
  <si>
    <t>C50</t>
  </si>
  <si>
    <t>C51</t>
  </si>
  <si>
    <t>C52</t>
  </si>
  <si>
    <t>C53</t>
  </si>
  <si>
    <t>C54</t>
  </si>
  <si>
    <t>C55</t>
  </si>
  <si>
    <t>C56</t>
  </si>
  <si>
    <t>C57</t>
  </si>
  <si>
    <t>C58</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</si>
  <si>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</si>
  <si>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</si>
  <si>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</si>
  <si>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</si>
  <si>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</si>
  <si>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</si>
  <si>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</si>
  <si>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</si>
  <si>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</si>
  <si>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</si>
  <si>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</si>
  <si>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</si>
  <si>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</si>
  <si>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</si>
  <si>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</si>
  <si>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</si>
  <si>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</si>
  <si>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</si>
  <si>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</si>
  <si>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</si>
  <si>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</si>
  <si>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</si>
  <si>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</si>
  <si>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</si>
  <si>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</si>
  <si>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</si>
  <si>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</si>
  <si>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C88</t>
  </si>
  <si>
    <t>C90</t>
  </si>
  <si>
    <t>C91</t>
  </si>
  <si>
    <t>C92</t>
  </si>
  <si>
    <t>C93</t>
  </si>
  <si>
    <t>C94</t>
  </si>
  <si>
    <t>C95</t>
  </si>
  <si>
    <t>C96</t>
  </si>
  <si>
    <t>C97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</si>
</sst>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2]\ * #,##0_-;\-[$€-2]\ * #,##0_-;_-[$€-2]\ * &quot;-&quot;??_-;_-@_-"/>
  </numFmts>
  <fonts count="33">
    <font>
      <sz val="11"/>
      <color theme="1"/>
      <name val="Calibri"/>
      <family val="2"/>
      <scheme val="minor"/>
    </font>
    <font>
      <sz val="11"/>
      <color theme="1"/>
      <name val="Calibri"/>
      <scheme val="minor"/>
    </font>
    <font>
      <b/>
      <sz val="11"/>
      <color rgb="FF1F1F1F"/>
      <name val="Aptos Narrow"/>
      <family val="2"/>
      <scheme val="minor"/>
    </font>
    <font>
      <sz val="11"/>
      <color rgb="FF000000"/>
      <name val="Calibri"/>
      <family val="2"/>
    </font>
    <font>
      <sz val="11"/>
      <color rgb="FF000000"/>
      <name val="Aptos Narrow"/>
    </font>
    <font>
      <sz val="11"/>
      <color theme="1"/>
      <name val="Calibri"/>
      <family val="2"/>
    </font>
    <font>
      <sz val="11"/>
      <color rgb="FF000000"/>
      <name val="Aptos Narrow"/>
      <family val="2"/>
    </font>
    <font>
      <b/>
      <sz val="11"/>
      <color rgb="FF000000"/>
      <name val="Calibri"/>
      <scheme val="minor"/>
    </font>
    <font>
      <sz val="11"/>
      <color rgb="FF000000"/>
      <name val="Calibri"/>
      <scheme val="minor"/>
    </font>
    <font>
      <sz val="11"/>
      <color rgb="FF000000"/>
      <name val="Arial"/>
      <charset val="1"/>
    </font>
    <font>
      <b/>
      <sz val="11"/>
      <color theme="1"/>
      <name val="Calibri"/>
      <family val="2"/>
      <scheme val="minor"/>
    </font>
    <font>
      <b/>
      <sz val="11"/>
      <color theme="3"/>
      <name val="Calibri"/>
      <family val="2"/>
      <scheme val="minor"/>
    </font>
    <font>
      <sz val="11"/>
      <color theme="3"/>
      <name val="Calibri"/>
      <scheme val="minor"/>
    </font>
    <font>
      <b/>
      <sz val="11"/>
      <color rgb="FF44546A"/>
      <name val="Calibri"/>
      <scheme val="minor"/>
    </font>
    <font>
      <sz val="11"/>
      <color rgb="FF44546A"/>
      <name val="Calibri"/>
      <scheme val="minor"/>
    </font>
    <font>
      <sz val="11"/>
      <color rgb="FF44546A"/>
      <name val="Calibri"/>
      <charset val="1"/>
    </font>
    <font>
      <b/>
      <sz val="11"/>
      <color rgb="FF44546A"/>
      <name val="Calibri"/>
      <charset val="1"/>
    </font>
    <font>
      <sz val="10"/>
      <color rgb="FF000000"/>
      <name val="Times New Roman"/>
      <family val="1"/>
      <charset val="1"/>
    </font>
    <font>
      <sz val="11"/>
      <color rgb="FF000000"/>
      <name val="Consolas"/>
      <charset val="1"/>
    </font>
    <font>
      <sz val="11"/>
      <color theme="1"/>
      <name val="Segoe UI"/>
      <charset val="1"/>
    </font>
    <font>
      <sz val="11"/>
      <color rgb="FF000000"/>
      <name val="Calibri"/>
      <charset val="1"/>
    </font>
    <font>
      <sz val="11"/>
      <color rgb="FF4472C4"/>
      <name val="Calibri"/>
      <scheme val="minor"/>
    </font>
    <font>
      <b/>
      <sz val="11"/>
      <color rgb="FF4472C4"/>
      <name val="Calibri"/>
      <scheme val="minor"/>
    </font>
    <font>
      <b/>
      <sz val="11"/>
      <color theme="1"/>
      <name val="Aptos Narrow"/>
      <family val="2"/>
      <scheme val="minor"/>
    </font>
    <font>
      <sz val="11"/>
      <color rgb="FF000000"/>
      <name val="Aptos Narrow"/>
      <charset val="1"/>
    </font>
    <font>
      <b/>
      <sz val="11"/>
      <color rgb="FF000000"/>
      <name val="Aptos Narrow"/>
      <family val="2"/>
      <charset val="238"/>
    </font>
    <font>
      <sz val="11"/>
      <color rgb="FF000000"/>
      <name val="Aptos Narrow"/>
      <family val="2"/>
      <charset val="238"/>
    </font>
    <font>
      <b/>
      <sz val="11"/>
      <color rgb="FF000000"/>
      <name val="Aptos Narrow"/>
      <family val="2"/>
    </font>
    <font>
      <b/>
      <sz val="11"/>
      <color rgb="FF000000"/>
      <name val="Aptos Narrow"/>
      <charset val="1"/>
    </font>
    <font>
      <b/>
      <sz val="11"/>
      <color rgb="FF000000"/>
      <name val="Calibri"/>
      <family val="2"/>
    </font>
    <font>
      <sz val="10"/>
      <color rgb="FF333333"/>
      <name val="Calibri"/>
      <scheme val="minor"/>
    </font>
    <font>
      <b/>
      <sz val="11"/>
      <color theme="3"/>
      <name val="Calibri"/>
      <scheme val="minor"/>
    </font>
    <font>
      <sz val="10"/>
      <name val="Calibri"/>
      <scheme val="minor"/>
    </font>
  </fonts>
  <fills count="10">
    <fill>
      <patternFill patternType="none"/>
    </fill>
    <fill>
      <patternFill patternType="gray125"/>
    </fill>
    <fill>
      <patternFill patternType="solid">
        <fgColor rgb="FFD9EAF7"/>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7" tint="0.39997558519241921"/>
        <bgColor indexed="64"/>
      </patternFill>
    </fill>
    <fill>
      <patternFill patternType="solid">
        <fgColor theme="4"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20">
    <xf numFmtId="0" fontId="0" fillId="0" borderId="0" xfId="0"/>
    <xf numFmtId="0" fontId="2" fillId="2" borderId="1" xfId="0" applyFont="1" applyFill="1" applyBorder="1"/>
    <xf numFmtId="0" fontId="3" fillId="3" borderId="1" xfId="0" applyFont="1" applyFill="1" applyBorder="1"/>
    <xf numFmtId="0" fontId="0" fillId="0" borderId="1" xfId="0" applyBorder="1"/>
    <xf numFmtId="4" fontId="0" fillId="0" borderId="1" xfId="0" applyNumberFormat="1" applyBorder="1"/>
    <xf numFmtId="0" fontId="4" fillId="0" borderId="1" xfId="0" applyFont="1" applyBorder="1"/>
    <xf numFmtId="0" fontId="5" fillId="3" borderId="1" xfId="0" applyFont="1" applyFill="1" applyBorder="1"/>
    <xf numFmtId="2" fontId="0" fillId="0" borderId="0" xfId="0" applyNumberFormat="1"/>
    <xf numFmtId="2" fontId="0" fillId="0" borderId="1" xfId="0" applyNumberFormat="1" applyBorder="1"/>
    <xf numFmtId="0" fontId="0" fillId="0" borderId="1" xfId="0" applyBorder="1" applyAlignment="1">
      <alignment wrapText="1"/>
    </xf>
    <xf numFmtId="0" fontId="4" fillId="0" borderId="2" xfId="0" applyFont="1" applyBorder="1"/>
    <xf numFmtId="0" fontId="6" fillId="0" borderId="1" xfId="0" applyFont="1" applyBorder="1"/>
    <xf numFmtId="0" fontId="0" fillId="0" borderId="0" xfId="0" applyAlignment="1">
      <alignment wrapText="1"/>
    </xf>
    <xf numFmtId="0" fontId="0" fillId="0" borderId="4" xfId="0" applyBorder="1"/>
    <xf numFmtId="0" fontId="3" fillId="3" borderId="2" xfId="0" applyFont="1" applyFill="1" applyBorder="1"/>
    <xf numFmtId="0" fontId="3" fillId="3" borderId="5" xfId="0" applyFont="1" applyFill="1" applyBorder="1"/>
    <xf numFmtId="0" fontId="0" fillId="0" borderId="6" xfId="0" applyBorder="1"/>
    <xf numFmtId="0" fontId="0" fillId="0" borderId="2" xfId="0" applyBorder="1"/>
    <xf numFmtId="0" fontId="3" fillId="3" borderId="7" xfId="0" applyFont="1" applyFill="1" applyBorder="1"/>
    <xf numFmtId="0" fontId="0" fillId="0" borderId="1" xfId="0" applyBorder="1" applyAlignment="1">
      <alignment vertical="top" wrapText="1"/>
    </xf>
    <xf numFmtId="0" fontId="9" fillId="0" borderId="6" xfId="0" applyFont="1" applyBorder="1"/>
    <xf numFmtId="0" fontId="8" fillId="0" borderId="0" xfId="0" applyFont="1" applyAlignment="1">
      <alignment vertical="top" wrapText="1"/>
    </xf>
    <xf numFmtId="0" fontId="0" fillId="0" borderId="7" xfId="0" applyBorder="1"/>
    <xf numFmtId="0" fontId="2" fillId="4" borderId="6" xfId="0" applyFont="1" applyFill="1" applyBorder="1"/>
    <xf numFmtId="0" fontId="0" fillId="4" borderId="1" xfId="0" applyFill="1" applyBorder="1"/>
    <xf numFmtId="0" fontId="10" fillId="4" borderId="2" xfId="0" applyFont="1" applyFill="1" applyBorder="1" applyAlignment="1">
      <alignment wrapText="1"/>
    </xf>
    <xf numFmtId="0" fontId="12" fillId="0" borderId="3" xfId="0" applyFont="1" applyBorder="1" applyAlignment="1">
      <alignment vertical="top" wrapText="1"/>
    </xf>
    <xf numFmtId="0" fontId="16" fillId="0" borderId="0" xfId="0" applyFont="1"/>
    <xf numFmtId="0" fontId="7" fillId="0" borderId="0" xfId="0" applyFont="1"/>
    <xf numFmtId="0" fontId="17" fillId="0" borderId="0" xfId="0" applyFont="1"/>
    <xf numFmtId="0" fontId="0" fillId="5" borderId="1" xfId="0" applyFill="1" applyBorder="1"/>
    <xf numFmtId="4" fontId="18" fillId="0" borderId="1" xfId="0" applyNumberFormat="1" applyFont="1" applyBorder="1"/>
    <xf numFmtId="0" fontId="0" fillId="5" borderId="2" xfId="0" applyFill="1" applyBorder="1"/>
    <xf numFmtId="3" fontId="19" fillId="0" borderId="1" xfId="0" applyNumberFormat="1" applyFont="1" applyBorder="1"/>
    <xf numFmtId="0" fontId="20" fillId="0" borderId="0" xfId="0" applyFont="1"/>
    <xf numFmtId="0" fontId="23" fillId="0" borderId="0" xfId="0" applyFont="1"/>
    <xf numFmtId="0" fontId="23" fillId="5" borderId="1" xfId="0" applyFont="1" applyFill="1" applyBorder="1"/>
    <xf numFmtId="0" fontId="23" fillId="5" borderId="6" xfId="0" applyFont="1" applyFill="1" applyBorder="1"/>
    <xf numFmtId="0" fontId="24" fillId="0" borderId="1" xfId="0" applyFont="1" applyBorder="1"/>
    <xf numFmtId="0" fontId="25" fillId="0" borderId="0" xfId="0" applyFont="1"/>
    <xf numFmtId="0" fontId="26" fillId="0" borderId="0" xfId="0" applyFont="1"/>
    <xf numFmtId="0" fontId="0" fillId="0" borderId="5" xfId="0" applyBorder="1"/>
    <xf numFmtId="0" fontId="24" fillId="0" borderId="5" xfId="0" applyFont="1" applyBorder="1"/>
    <xf numFmtId="0" fontId="4" fillId="0" borderId="5" xfId="0" applyFont="1" applyBorder="1"/>
    <xf numFmtId="0" fontId="23" fillId="5" borderId="2" xfId="0" applyFont="1" applyFill="1" applyBorder="1"/>
    <xf numFmtId="0" fontId="10" fillId="0" borderId="0" xfId="0" applyFont="1"/>
    <xf numFmtId="0" fontId="27" fillId="6" borderId="2" xfId="0" applyFont="1" applyFill="1" applyBorder="1"/>
    <xf numFmtId="0" fontId="3" fillId="0" borderId="1" xfId="0" applyFont="1" applyBorder="1"/>
    <xf numFmtId="0" fontId="24" fillId="0" borderId="0" xfId="0" applyFont="1"/>
    <xf numFmtId="0" fontId="3" fillId="0" borderId="2" xfId="0" applyFont="1" applyBorder="1"/>
    <xf numFmtId="2" fontId="6" fillId="0" borderId="1" xfId="0" applyNumberFormat="1" applyFont="1" applyBorder="1"/>
    <xf numFmtId="0" fontId="3" fillId="0" borderId="6" xfId="0" applyFont="1" applyBorder="1"/>
    <xf numFmtId="0" fontId="3" fillId="0" borderId="4" xfId="0" applyFont="1" applyBorder="1"/>
    <xf numFmtId="165" fontId="0" fillId="0" borderId="1" xfId="0" applyNumberFormat="1" applyBorder="1"/>
    <xf numFmtId="44" fontId="0" fillId="0" borderId="1" xfId="0" applyNumberFormat="1" applyBorder="1"/>
    <xf numFmtId="0" fontId="10" fillId="5" borderId="1" xfId="0" applyFont="1" applyFill="1" applyBorder="1" applyAlignment="1">
      <alignment horizontal="center"/>
    </xf>
    <xf numFmtId="165" fontId="0" fillId="0" borderId="5" xfId="0" applyNumberFormat="1" applyBorder="1"/>
    <xf numFmtId="44" fontId="0" fillId="0" borderId="5" xfId="0" applyNumberFormat="1" applyBorder="1"/>
    <xf numFmtId="0" fontId="28" fillId="5" borderId="1" xfId="0" applyFont="1" applyFill="1" applyBorder="1"/>
    <xf numFmtId="0" fontId="27" fillId="6" borderId="8" xfId="0" applyFont="1" applyFill="1" applyBorder="1"/>
    <xf numFmtId="0" fontId="27" fillId="6" borderId="9" xfId="0" applyFont="1" applyFill="1" applyBorder="1"/>
    <xf numFmtId="0" fontId="23" fillId="5" borderId="8" xfId="0" applyFont="1" applyFill="1" applyBorder="1"/>
    <xf numFmtId="0" fontId="23" fillId="5" borderId="9" xfId="0" applyFont="1" applyFill="1" applyBorder="1"/>
    <xf numFmtId="0" fontId="23" fillId="5" borderId="4" xfId="0" applyFont="1" applyFill="1" applyBorder="1"/>
    <xf numFmtId="0" fontId="23" fillId="5" borderId="10" xfId="0" applyFont="1" applyFill="1" applyBorder="1"/>
    <xf numFmtId="0" fontId="10" fillId="5" borderId="1" xfId="0" applyFont="1" applyFill="1" applyBorder="1"/>
    <xf numFmtId="0" fontId="26" fillId="0" borderId="7" xfId="0" applyFont="1" applyBorder="1"/>
    <xf numFmtId="0" fontId="26" fillId="0" borderId="6" xfId="0" applyFont="1" applyBorder="1"/>
    <xf numFmtId="0" fontId="0" fillId="0" borderId="11" xfId="0" applyBorder="1"/>
    <xf numFmtId="0" fontId="4" fillId="0" borderId="0" xfId="0" applyFont="1"/>
    <xf numFmtId="0" fontId="3" fillId="0" borderId="8" xfId="0" applyFont="1" applyBorder="1"/>
    <xf numFmtId="0" fontId="0" fillId="0" borderId="8" xfId="0" applyBorder="1"/>
    <xf numFmtId="0" fontId="28" fillId="5" borderId="2" xfId="0" applyFont="1" applyFill="1" applyBorder="1"/>
    <xf numFmtId="0" fontId="24" fillId="0" borderId="6" xfId="0" applyFont="1" applyBorder="1"/>
    <xf numFmtId="0" fontId="24" fillId="0" borderId="4" xfId="0" applyFont="1" applyBorder="1"/>
    <xf numFmtId="0" fontId="10" fillId="5" borderId="2" xfId="0" applyFont="1" applyFill="1" applyBorder="1"/>
    <xf numFmtId="0" fontId="29" fillId="6" borderId="2" xfId="0" applyFont="1" applyFill="1" applyBorder="1"/>
    <xf numFmtId="0" fontId="29" fillId="6" borderId="1" xfId="0" applyFont="1" applyFill="1" applyBorder="1"/>
    <xf numFmtId="0" fontId="29" fillId="6" borderId="9" xfId="0" applyFont="1" applyFill="1" applyBorder="1"/>
    <xf numFmtId="0" fontId="0" fillId="7" borderId="1" xfId="0" applyFill="1" applyBorder="1"/>
    <xf numFmtId="4" fontId="0" fillId="7" borderId="1" xfId="0" applyNumberFormat="1" applyFill="1" applyBorder="1"/>
    <xf numFmtId="0" fontId="0" fillId="8" borderId="2" xfId="0" applyFill="1" applyBorder="1"/>
    <xf numFmtId="4" fontId="0" fillId="8" borderId="2" xfId="0" applyNumberFormat="1" applyFill="1" applyBorder="1"/>
    <xf numFmtId="0" fontId="0" fillId="8" borderId="1" xfId="0" applyFill="1" applyBorder="1"/>
    <xf numFmtId="0" fontId="0" fillId="8" borderId="6" xfId="0" applyFill="1" applyBorder="1"/>
    <xf numFmtId="0" fontId="20" fillId="8" borderId="1" xfId="0" applyFont="1" applyFill="1" applyBorder="1"/>
    <xf numFmtId="164" fontId="0" fillId="8" borderId="1" xfId="0" applyNumberFormat="1" applyFill="1" applyBorder="1"/>
    <xf numFmtId="0" fontId="0" fillId="7" borderId="6" xfId="0" applyFill="1" applyBorder="1"/>
    <xf numFmtId="0" fontId="20" fillId="7" borderId="1" xfId="0" applyFont="1" applyFill="1" applyBorder="1"/>
    <xf numFmtId="3" fontId="0" fillId="7" borderId="1" xfId="0" applyNumberFormat="1" applyFill="1" applyBorder="1"/>
    <xf numFmtId="164" fontId="0" fillId="7" borderId="1" xfId="0" applyNumberFormat="1" applyFill="1" applyBorder="1"/>
    <xf numFmtId="0" fontId="0" fillId="9" borderId="6" xfId="0" applyFill="1" applyBorder="1"/>
    <xf numFmtId="0" fontId="30" fillId="9" borderId="1" xfId="0" applyFont="1" applyFill="1" applyBorder="1"/>
    <xf numFmtId="0" fontId="0" fillId="9" borderId="1" xfId="0" applyFill="1" applyBorder="1"/>
    <xf numFmtId="3" fontId="0" fillId="9" borderId="1" xfId="0" applyNumberFormat="1" applyFill="1" applyBorder="1"/>
    <xf numFmtId="4" fontId="0" fillId="9" borderId="1" xfId="0" applyNumberFormat="1" applyFill="1" applyBorder="1"/>
    <xf numFmtId="0" fontId="20" fillId="9" borderId="1" xfId="0" applyFont="1" applyFill="1" applyBorder="1"/>
    <xf numFmtId="164" fontId="0" fillId="9" borderId="1" xfId="0" applyNumberFormat="1" applyFill="1" applyBorder="1"/>
    <xf numFmtId="165" fontId="0" fillId="0" borderId="0" xfId="0" applyNumberFormat="1"/>
    <xf numFmtId="165" fontId="0" fillId="0" borderId="6" xfId="0" applyNumberFormat="1" applyBorder="1"/>
    <xf numFmtId="0" fontId="27" fillId="6" borderId="1" xfId="0" applyFont="1" applyFill="1" applyBorder="1"/>
    <xf numFmtId="0" fontId="20" fillId="0" borderId="1" xfId="0" applyFont="1" applyBorder="1"/>
    <xf numFmtId="0" fontId="11" fillId="0" borderId="0" xfId="0" applyFont="1"/>
    <xf numFmtId="0" fontId="10" fillId="5" borderId="6" xfId="0" applyFont="1" applyFill="1" applyBorder="1"/>
    <xf numFmtId="0" fontId="10" fillId="5" borderId="8" xfId="0" applyFont="1" applyFill="1" applyBorder="1"/>
    <xf numFmtId="0" fontId="30" fillId="8" borderId="1" xfId="0" applyFont="1" applyFill="1" applyBorder="1"/>
    <xf numFmtId="0" fontId="32" fillId="0" borderId="1" xfId="0" applyFont="1" applyBorder="1" applyAlignment="1">
      <alignment wrapText="1"/>
    </xf>
    <xf numFmtId="0" fontId="14" fillId="0" borderId="0" xfId="0" applyFont="1" applyAlignment="1">
      <alignment vertical="top" wrapText="1"/>
    </xf>
    <xf numFmtId="0" fontId="12" fillId="0" borderId="0" xfId="0" applyFont="1" applyAlignment="1">
      <alignment vertical="top" wrapText="1"/>
    </xf>
    <xf numFmtId="0" fontId="10" fillId="0" borderId="3" xfId="0" applyFont="1" applyBorder="1" applyAlignment="1">
      <alignment horizontal="center"/>
    </xf>
    <xf numFmtId="0" fontId="13" fillId="0" borderId="3" xfId="0" applyFont="1" applyBorder="1" applyAlignment="1">
      <alignment wrapText="1"/>
    </xf>
    <xf numFmtId="0" fontId="11" fillId="0" borderId="3" xfId="0" applyFont="1" applyBorder="1" applyAlignment="1">
      <alignment wrapText="1"/>
    </xf>
    <xf numFmtId="0" fontId="0" fillId="9" borderId="1" xfId="0" applyFill="1" applyBorder="1" applyAlignment="1">
      <alignment horizontal="left"/>
    </xf>
    <xf numFmtId="0" fontId="0" fillId="8" borderId="2" xfId="0" applyFill="1" applyBorder="1" applyAlignment="1">
      <alignment horizontal="left"/>
    </xf>
    <xf numFmtId="0" fontId="10" fillId="0" borderId="6" xfId="0" applyFont="1" applyBorder="1" applyAlignment="1">
      <alignment horizontal="left"/>
    </xf>
    <xf numFmtId="0" fontId="10" fillId="0" borderId="4" xfId="0" applyFont="1" applyBorder="1" applyAlignment="1">
      <alignment horizontal="left"/>
    </xf>
    <xf numFmtId="0" fontId="21" fillId="0" borderId="0" xfId="0" applyFont="1" applyAlignment="1">
      <alignment wrapText="1"/>
    </xf>
    <xf numFmtId="0" fontId="1" fillId="0" borderId="0" xfId="0" applyFont="1"/>
    <xf numFmtId="0" fontId="13" fillId="0" borderId="0" xfId="0" applyFont="1" applyAlignment="1"/>
    <xf numFmtId="0" fontId="11" fillId="0" borderId="0" xfId="0" applyFont="1" applyAlignment="1"/>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BFEA3-2289-424C-A700-6409BE0CA557}">
  <dimension ref="A1:M22"/>
  <sheetViews>
    <sheetView tabSelected="1" topLeftCell="A2" workbookViewId="0">
      <selection activeCell="H6" sqref="H6"/>
    </sheetView>
  </sheetViews>
  <sheetFormatPr defaultRowHeight="15"/>
  <cols>
    <col min="1" max="1" width="19.7109375" customWidth="1"/>
    <col min="2" max="2" width="15" customWidth="1"/>
    <col min="3" max="3" width="15.140625" customWidth="1"/>
    <col min="4" max="4" width="11.28515625" customWidth="1"/>
    <col min="5" max="5" width="19.140625" customWidth="1"/>
    <col min="6" max="6" width="14.42578125" customWidth="1"/>
    <col min="7" max="8" width="16" customWidth="1"/>
    <col min="9" max="9" width="15.85546875" customWidth="1"/>
    <col min="10" max="10" width="14.7109375" customWidth="1"/>
    <col min="11" max="11" width="13.42578125" customWidth="1"/>
    <col min="12" max="12" width="13" customWidth="1"/>
    <col min="13" max="13" width="35.7109375" customWidth="1"/>
  </cols>
  <sheetData>
    <row r="1" spans="1:13" ht="60" customHeight="1">
      <c r="A1" s="107" t="s">
        <v>0</v>
      </c>
      <c r="B1" s="108"/>
      <c r="C1" s="108"/>
      <c r="D1" s="108"/>
      <c r="E1" s="108"/>
      <c r="F1" s="108"/>
      <c r="G1" s="108"/>
      <c r="H1" s="21"/>
      <c r="I1" s="21"/>
      <c r="J1" s="12"/>
      <c r="K1" s="12"/>
      <c r="L1" s="12"/>
    </row>
    <row r="2" spans="1:13" ht="28.5" customHeight="1">
      <c r="A2" s="27" t="s">
        <v>1</v>
      </c>
      <c r="B2" s="26"/>
      <c r="C2" s="26"/>
      <c r="D2" s="26"/>
      <c r="E2" s="26"/>
      <c r="F2" s="26"/>
      <c r="G2" s="26"/>
      <c r="H2" s="21"/>
      <c r="I2" s="21"/>
      <c r="J2" s="12"/>
      <c r="K2" s="12"/>
      <c r="L2" s="12"/>
    </row>
    <row r="3" spans="1:13">
      <c r="A3" s="1" t="s">
        <v>2</v>
      </c>
      <c r="B3" s="1" t="s">
        <v>3</v>
      </c>
      <c r="C3" s="1" t="s">
        <v>4</v>
      </c>
      <c r="D3" s="1" t="s">
        <v>5</v>
      </c>
      <c r="E3" s="1" t="s">
        <v>6</v>
      </c>
      <c r="F3" s="1" t="s">
        <v>7</v>
      </c>
      <c r="G3" s="1" t="s">
        <v>8</v>
      </c>
      <c r="H3" s="1" t="s">
        <v>9</v>
      </c>
      <c r="I3" s="1" t="s">
        <v>10</v>
      </c>
      <c r="J3" s="1" t="s">
        <v>11</v>
      </c>
      <c r="K3" s="1" t="s">
        <v>12</v>
      </c>
      <c r="L3" s="1" t="s">
        <v>13</v>
      </c>
      <c r="M3" s="1" t="s">
        <v>14</v>
      </c>
    </row>
    <row r="4" spans="1:13" ht="91.5">
      <c r="A4" s="2" t="s">
        <v>15</v>
      </c>
      <c r="B4" s="3">
        <v>2021</v>
      </c>
      <c r="C4" s="3">
        <v>42647490</v>
      </c>
      <c r="D4" s="3" t="s">
        <v>16</v>
      </c>
      <c r="E4" s="3">
        <f>274634.09*82*1.0325</f>
        <v>23251895.229850002</v>
      </c>
      <c r="F4" s="117">
        <v>13.23</v>
      </c>
      <c r="G4" s="3">
        <f>E4/F4*0.228</f>
        <v>400712.93366634921</v>
      </c>
      <c r="H4" s="3">
        <f>1757512.867*0.772</f>
        <v>1356799.9333240001</v>
      </c>
      <c r="I4" s="3">
        <f>H4+G4</f>
        <v>1757512.8669903493</v>
      </c>
      <c r="J4" s="4">
        <f>I4/C4</f>
        <v>4.1210229886690854E-2</v>
      </c>
      <c r="K4" s="20">
        <v>26268</v>
      </c>
      <c r="L4" s="3">
        <f>I4/K4</f>
        <v>66.906992043183692</v>
      </c>
      <c r="M4" s="19" t="s">
        <v>17</v>
      </c>
    </row>
    <row r="5" spans="1:13" ht="63" customHeight="1">
      <c r="A5" s="2" t="s">
        <v>18</v>
      </c>
      <c r="B5" s="3">
        <v>2024</v>
      </c>
      <c r="C5" s="5">
        <v>3033500</v>
      </c>
      <c r="D5" s="3" t="s">
        <v>19</v>
      </c>
      <c r="E5" s="3">
        <v>12958405888</v>
      </c>
      <c r="F5" s="5">
        <v>147.23110500000001</v>
      </c>
      <c r="G5" s="3">
        <f>E5/F5</f>
        <v>88014050.346222684</v>
      </c>
      <c r="H5" s="3">
        <f>(G5*'OOP Exp.'!C4)/(100-'OOP Exp.'!C4)</f>
        <v>352056201.38489074</v>
      </c>
      <c r="I5" s="3">
        <f>H5+G5</f>
        <v>440070251.73111343</v>
      </c>
      <c r="J5" s="4">
        <f>I5/C5</f>
        <v>145.07013407981324</v>
      </c>
      <c r="K5" s="20">
        <v>10718</v>
      </c>
      <c r="L5" s="3">
        <f>I5/K5</f>
        <v>41058.989711803828</v>
      </c>
      <c r="M5" s="9" t="s">
        <v>20</v>
      </c>
    </row>
    <row r="6" spans="1:13">
      <c r="A6" s="2" t="s">
        <v>21</v>
      </c>
      <c r="B6" s="3">
        <v>2024</v>
      </c>
      <c r="C6" s="5">
        <v>10202830</v>
      </c>
      <c r="D6" s="3" t="s">
        <v>22</v>
      </c>
      <c r="E6" s="3">
        <v>48300000</v>
      </c>
      <c r="F6" s="5">
        <v>0.49354479000000001</v>
      </c>
      <c r="G6" s="3">
        <f>E6/F6</f>
        <v>97863458.349950358</v>
      </c>
      <c r="H6" s="3">
        <f>(G6*'OOP Exp.'!C5)/(100-'OOP Exp.'!C5)</f>
        <v>181746422.64990783</v>
      </c>
      <c r="I6" s="3">
        <f>H6+G6</f>
        <v>279609880.9998582</v>
      </c>
      <c r="J6" s="4">
        <f>I6/C6</f>
        <v>27.405129851213655</v>
      </c>
      <c r="K6" s="20">
        <v>15251</v>
      </c>
      <c r="L6" s="3">
        <f t="shared" ref="L6:L20" si="0">I6/K6</f>
        <v>18333.871942814123</v>
      </c>
      <c r="M6" s="3"/>
    </row>
    <row r="7" spans="1:13">
      <c r="A7" s="6" t="s">
        <v>23</v>
      </c>
      <c r="B7" s="3">
        <v>2015</v>
      </c>
      <c r="C7" s="5">
        <v>9132629</v>
      </c>
      <c r="D7" s="3" t="s">
        <v>24</v>
      </c>
      <c r="E7" s="3">
        <f>11790000000*0.046</f>
        <v>542340000</v>
      </c>
      <c r="F7" s="5">
        <v>0.81794506</v>
      </c>
      <c r="G7" s="3">
        <f t="shared" ref="G7:G21" si="1">E7/F7</f>
        <v>663051868.05578363</v>
      </c>
      <c r="H7" s="3">
        <f>(G7*'OOP Exp.'!C6)/(100-'OOP Exp.'!C6)</f>
        <v>257853504.24391589</v>
      </c>
      <c r="I7" s="3">
        <f>H7+G7</f>
        <v>920905372.29969954</v>
      </c>
      <c r="J7" s="4">
        <f>I7/C7</f>
        <v>100.83683157387644</v>
      </c>
      <c r="K7" s="20">
        <v>46420</v>
      </c>
      <c r="L7" s="3">
        <f t="shared" si="0"/>
        <v>19838.547442906067</v>
      </c>
      <c r="M7" s="3"/>
    </row>
    <row r="8" spans="1:13">
      <c r="A8" s="2" t="s">
        <v>25</v>
      </c>
      <c r="B8" s="3">
        <v>2024</v>
      </c>
      <c r="C8" s="5">
        <v>1372341</v>
      </c>
      <c r="D8" s="3" t="s">
        <v>26</v>
      </c>
      <c r="E8" s="7">
        <v>293014944</v>
      </c>
      <c r="F8" s="5">
        <v>0.58373200000000003</v>
      </c>
      <c r="G8" s="3">
        <f t="shared" si="1"/>
        <v>501968273.11163342</v>
      </c>
      <c r="H8" s="3">
        <f>(G8*'OOP Exp.'!C7)/(100-'OOP Exp.'!C7)</f>
        <v>133434604.24486457</v>
      </c>
      <c r="I8" s="3">
        <f>H8+G8</f>
        <v>635402877.356498</v>
      </c>
      <c r="J8" s="4">
        <f>I8/C8</f>
        <v>463.00655402447205</v>
      </c>
      <c r="K8" s="20">
        <v>8363</v>
      </c>
      <c r="L8" s="3">
        <f t="shared" si="0"/>
        <v>75977.864086631351</v>
      </c>
      <c r="M8" s="8"/>
    </row>
    <row r="9" spans="1:13">
      <c r="A9" s="2" t="s">
        <v>27</v>
      </c>
      <c r="B9" s="3">
        <v>2024</v>
      </c>
      <c r="C9" s="5">
        <v>3699557</v>
      </c>
      <c r="D9" s="3" t="s">
        <v>28</v>
      </c>
      <c r="E9" s="3">
        <v>284147235.42857099</v>
      </c>
      <c r="F9" s="5">
        <v>0.88895531000000005</v>
      </c>
      <c r="G9" s="3">
        <f t="shared" si="1"/>
        <v>319641755.02655017</v>
      </c>
      <c r="H9" s="3">
        <f>(G9*'OOP Exp.'!C8)/(100-'OOP Exp.'!C8)</f>
        <v>459972281.62357217</v>
      </c>
      <c r="I9" s="3">
        <f>H9+G9</f>
        <v>779614036.6501224</v>
      </c>
      <c r="J9" s="4">
        <f>I9/C9</f>
        <v>210.73172724467346</v>
      </c>
      <c r="K9" s="20">
        <v>16063</v>
      </c>
      <c r="L9" s="3">
        <f t="shared" si="0"/>
        <v>48534.771627349961</v>
      </c>
      <c r="M9" s="3"/>
    </row>
    <row r="10" spans="1:13">
      <c r="A10" s="2" t="s">
        <v>29</v>
      </c>
      <c r="B10" s="3">
        <v>2024</v>
      </c>
      <c r="C10" s="5">
        <v>20592571</v>
      </c>
      <c r="D10" s="3" t="s">
        <v>30</v>
      </c>
      <c r="E10" s="9">
        <f>32508963000+161429380000</f>
        <v>193938343000</v>
      </c>
      <c r="F10" s="5">
        <v>162.334081</v>
      </c>
      <c r="G10" s="3">
        <f t="shared" si="1"/>
        <v>1194686548.907743</v>
      </c>
      <c r="H10" s="3">
        <f>(G10*'OOP Exp.'!C9)/(100-'OOP Exp.'!C9)</f>
        <v>464600324.57523334</v>
      </c>
      <c r="I10" s="3">
        <f>H10+G10</f>
        <v>1659286873.4829764</v>
      </c>
      <c r="J10" s="4">
        <f>I10/C10</f>
        <v>80.576965036710391</v>
      </c>
      <c r="K10" s="20">
        <v>29851</v>
      </c>
      <c r="L10" s="3">
        <f>I10/K10</f>
        <v>55585.637783758546</v>
      </c>
      <c r="M10" s="3"/>
    </row>
    <row r="11" spans="1:13">
      <c r="A11" s="2" t="s">
        <v>31</v>
      </c>
      <c r="B11" s="3">
        <v>2024</v>
      </c>
      <c r="C11" s="5">
        <v>7221868</v>
      </c>
      <c r="D11" s="3" t="s">
        <v>32</v>
      </c>
      <c r="E11" s="3">
        <f>176000000+246600000*2+10777200</f>
        <v>679977200</v>
      </c>
      <c r="F11" s="5">
        <v>26.324007600000002</v>
      </c>
      <c r="G11" s="3">
        <f t="shared" si="1"/>
        <v>25831066.847131588</v>
      </c>
      <c r="H11" s="3">
        <f>(G11*'OOP Exp.'!C10)/(100-'OOP Exp.'!C10)</f>
        <v>18705255.303095289</v>
      </c>
      <c r="I11" s="3">
        <f>H11+G11</f>
        <v>44536322.150226876</v>
      </c>
      <c r="J11" s="4">
        <f>I11/C11</f>
        <v>6.1668701436009181</v>
      </c>
      <c r="K11" s="20">
        <v>8902</v>
      </c>
      <c r="L11" s="3">
        <f>I11/K11</f>
        <v>5002.9568805017834</v>
      </c>
      <c r="M11" s="3"/>
    </row>
    <row r="12" spans="1:13">
      <c r="A12" s="2" t="s">
        <v>33</v>
      </c>
      <c r="B12" s="3">
        <v>2024</v>
      </c>
      <c r="C12" s="5">
        <v>1866124</v>
      </c>
      <c r="D12" s="3" t="s">
        <v>26</v>
      </c>
      <c r="E12" s="3">
        <v>175691289</v>
      </c>
      <c r="F12" s="5">
        <v>0.492149</v>
      </c>
      <c r="G12" s="3">
        <f t="shared" si="1"/>
        <v>356988003.63304609</v>
      </c>
      <c r="H12" s="3">
        <f>(G12*'OOP Exp.'!C11)/(100-'OOP Exp.'!C11)</f>
        <v>192224309.64856327</v>
      </c>
      <c r="I12" s="3">
        <f>H12+G12</f>
        <v>549212313.2816093</v>
      </c>
      <c r="J12" s="4">
        <f>I12/C12</f>
        <v>294.30644120198298</v>
      </c>
      <c r="K12" s="20">
        <v>11317</v>
      </c>
      <c r="L12" s="3">
        <f t="shared" si="0"/>
        <v>48529.85007348319</v>
      </c>
      <c r="M12" s="3"/>
    </row>
    <row r="13" spans="1:13">
      <c r="A13" s="2" t="s">
        <v>34</v>
      </c>
      <c r="B13" s="3">
        <v>2024</v>
      </c>
      <c r="C13" s="5">
        <v>2888278</v>
      </c>
      <c r="D13" s="3" t="s">
        <v>26</v>
      </c>
      <c r="E13" s="3">
        <v>404500000</v>
      </c>
      <c r="F13" s="5">
        <v>0.49894699999999997</v>
      </c>
      <c r="G13" s="3">
        <f t="shared" si="1"/>
        <v>810707349.67842281</v>
      </c>
      <c r="H13" s="3">
        <f>(G13*'OOP Exp.'!C12)/(100-'OOP Exp.'!C12)</f>
        <v>364230838.26132041</v>
      </c>
      <c r="I13" s="3">
        <f>H13+G13</f>
        <v>1174938187.9397433</v>
      </c>
      <c r="J13" s="4">
        <f>I13/C13</f>
        <v>406.79539432829642</v>
      </c>
      <c r="K13" s="20">
        <v>16368</v>
      </c>
      <c r="L13" s="3">
        <f>I13/K13</f>
        <v>71782.636115575719</v>
      </c>
      <c r="M13" s="3"/>
    </row>
    <row r="14" spans="1:13">
      <c r="A14" s="2" t="s">
        <v>35</v>
      </c>
      <c r="B14" s="3">
        <v>2024</v>
      </c>
      <c r="C14" s="5">
        <v>2402306</v>
      </c>
      <c r="D14" s="3" t="s">
        <v>36</v>
      </c>
      <c r="E14" s="4">
        <f>552520230+4790500</f>
        <v>557310730</v>
      </c>
      <c r="F14" s="5">
        <v>7.2411629599999996</v>
      </c>
      <c r="G14" s="3">
        <f t="shared" si="1"/>
        <v>76964257.409834623</v>
      </c>
      <c r="H14" s="3">
        <f>(G14*'OOP Exp.'!C13)/(100-'OOP Exp.'!C13)</f>
        <v>28466232.19267856</v>
      </c>
      <c r="I14" s="3">
        <f>H14+G14</f>
        <v>105430489.60251318</v>
      </c>
      <c r="J14" s="4">
        <f>I14/C14</f>
        <v>43.887202380759646</v>
      </c>
      <c r="K14" s="20">
        <v>11349</v>
      </c>
      <c r="L14" s="3">
        <f t="shared" si="0"/>
        <v>9289.848409772947</v>
      </c>
      <c r="M14" s="3"/>
    </row>
    <row r="15" spans="1:13">
      <c r="A15" s="2" t="s">
        <v>37</v>
      </c>
      <c r="B15" s="3">
        <v>2024</v>
      </c>
      <c r="C15" s="5">
        <v>143533851</v>
      </c>
      <c r="D15" s="3" t="s">
        <v>38</v>
      </c>
      <c r="E15" s="3">
        <f>(386.6+0.04951318078)*1000000000</f>
        <v>386649513180.78003</v>
      </c>
      <c r="F15" s="5">
        <v>29.0629746</v>
      </c>
      <c r="G15" s="3">
        <f t="shared" si="1"/>
        <v>13303852014.541553</v>
      </c>
      <c r="H15" s="3">
        <f>(G15*'OOP Exp.'!C14)/(100-'OOP Exp.'!C14)</f>
        <v>5173720227.8772707</v>
      </c>
      <c r="I15" s="3">
        <f>H15+G15</f>
        <v>18477572242.418823</v>
      </c>
      <c r="J15" s="4">
        <f>I15/C15</f>
        <v>128.7332020543281</v>
      </c>
      <c r="K15" s="20">
        <v>633830</v>
      </c>
      <c r="L15" s="3">
        <f t="shared" si="0"/>
        <v>29152.252563650858</v>
      </c>
      <c r="M15" s="3"/>
    </row>
    <row r="16" spans="1:13">
      <c r="A16" s="2" t="s">
        <v>39</v>
      </c>
      <c r="B16" s="3">
        <v>2024</v>
      </c>
      <c r="C16" s="5">
        <v>5422069</v>
      </c>
      <c r="D16" s="3" t="s">
        <v>26</v>
      </c>
      <c r="E16" s="3">
        <v>524427024.10000002</v>
      </c>
      <c r="F16" s="5">
        <v>0.51202499999999995</v>
      </c>
      <c r="G16" s="3">
        <f t="shared" si="1"/>
        <v>1024221520.6288757</v>
      </c>
      <c r="H16" s="3">
        <f>(G16*'OOP Exp.'!C15)/(100-'OOP Exp.'!C15)</f>
        <v>256055380.15721893</v>
      </c>
      <c r="I16" s="3">
        <f>H16+G16</f>
        <v>1280276900.7860947</v>
      </c>
      <c r="J16" s="4">
        <f>I16/C16</f>
        <v>236.1233139574754</v>
      </c>
      <c r="K16" s="20">
        <v>31384</v>
      </c>
      <c r="L16" s="3">
        <f t="shared" si="0"/>
        <v>40793.936425761363</v>
      </c>
      <c r="M16" s="3"/>
    </row>
    <row r="17" spans="1:13">
      <c r="A17" s="2" t="s">
        <v>40</v>
      </c>
      <c r="B17" s="3">
        <v>2024</v>
      </c>
      <c r="C17" s="5">
        <v>2127400</v>
      </c>
      <c r="D17" s="3" t="s">
        <v>26</v>
      </c>
      <c r="E17" s="3">
        <v>471756569.19</v>
      </c>
      <c r="F17" s="5">
        <v>0.55712799999999996</v>
      </c>
      <c r="G17" s="3">
        <f t="shared" si="1"/>
        <v>846765140.48836184</v>
      </c>
      <c r="H17" s="3">
        <f>(G17*'OOP Exp.'!C16)/(100-'OOP Exp.'!C16)</f>
        <v>115467973.70295843</v>
      </c>
      <c r="I17" s="3">
        <f>H17+G17</f>
        <v>962233114.1913203</v>
      </c>
      <c r="J17" s="4">
        <f>I17/C17</f>
        <v>452.3047448487921</v>
      </c>
      <c r="K17" s="20">
        <v>14264</v>
      </c>
      <c r="L17" s="3">
        <f t="shared" si="0"/>
        <v>67458.855453682016</v>
      </c>
      <c r="M17" s="3"/>
    </row>
    <row r="18" spans="1:13">
      <c r="A18" s="14" t="s">
        <v>41</v>
      </c>
      <c r="B18" s="3">
        <v>2024</v>
      </c>
      <c r="C18" s="5">
        <v>10590927</v>
      </c>
      <c r="D18" s="3" t="s">
        <v>42</v>
      </c>
      <c r="E18">
        <v>188400000</v>
      </c>
      <c r="F18" s="5">
        <v>2.67931126</v>
      </c>
      <c r="G18" s="3">
        <f t="shared" si="1"/>
        <v>70316578.298558712</v>
      </c>
      <c r="H18" s="3">
        <f>(G18*'OOP Exp.'!C17)/(100-'OOP Exp.'!C17)</f>
        <v>114727048.80291158</v>
      </c>
      <c r="I18" s="3">
        <f>H18+G18</f>
        <v>185043627.10147029</v>
      </c>
      <c r="J18" s="4">
        <f>I18/C18</f>
        <v>17.471900911173336</v>
      </c>
      <c r="K18" s="20">
        <v>8222</v>
      </c>
      <c r="L18" s="3">
        <f t="shared" si="0"/>
        <v>22505.914266780623</v>
      </c>
      <c r="M18" s="3" t="s">
        <v>43</v>
      </c>
    </row>
    <row r="19" spans="1:13">
      <c r="A19" s="6" t="s">
        <v>44</v>
      </c>
      <c r="B19" s="13">
        <v>2024</v>
      </c>
      <c r="C19" s="10">
        <v>7494498</v>
      </c>
      <c r="D19" s="3" t="s">
        <v>45</v>
      </c>
      <c r="E19" s="3">
        <v>137495829</v>
      </c>
      <c r="F19" s="5">
        <v>1.51189102</v>
      </c>
      <c r="G19" s="3">
        <f t="shared" si="1"/>
        <v>90942949.71075362</v>
      </c>
      <c r="H19" s="3">
        <f>(G19*'OOP Exp.'!C18)/(100-'OOP Exp.'!C18)</f>
        <v>304461179.46643603</v>
      </c>
      <c r="I19" s="3">
        <f>H19+G19</f>
        <v>395404129.17718965</v>
      </c>
      <c r="J19" s="4">
        <f>I19/C19</f>
        <v>52.759254746240465</v>
      </c>
      <c r="K19" s="20">
        <v>7659</v>
      </c>
      <c r="L19" s="3">
        <f t="shared" si="0"/>
        <v>51626.07770951686</v>
      </c>
      <c r="M19" s="3" t="s">
        <v>43</v>
      </c>
    </row>
    <row r="20" spans="1:13">
      <c r="A20" s="15" t="s">
        <v>46</v>
      </c>
      <c r="B20" s="16">
        <v>2024</v>
      </c>
      <c r="C20" s="5">
        <v>37860221</v>
      </c>
      <c r="D20" s="13" t="s">
        <v>47</v>
      </c>
      <c r="E20" s="11">
        <v>7449204281.3999996</v>
      </c>
      <c r="F20" s="5">
        <v>11.665400099999999</v>
      </c>
      <c r="G20" s="3">
        <f t="shared" si="1"/>
        <v>638572549.38045371</v>
      </c>
      <c r="H20" s="3">
        <f>(G20*'OOP Exp.'!C19)/(100-'OOP Exp.'!C19)</f>
        <v>522468449.4930985</v>
      </c>
      <c r="I20" s="3">
        <f>H20+G20</f>
        <v>1161040998.8735523</v>
      </c>
      <c r="J20" s="4">
        <f>I20/C20</f>
        <v>30.666514040516361</v>
      </c>
      <c r="K20" s="20">
        <v>153699</v>
      </c>
      <c r="L20" s="3">
        <f t="shared" si="0"/>
        <v>7553.9918859169693</v>
      </c>
      <c r="M20" s="17"/>
    </row>
    <row r="21" spans="1:13">
      <c r="A21" s="2" t="s">
        <v>48</v>
      </c>
      <c r="B21" s="3">
        <v>2024</v>
      </c>
      <c r="C21" s="3">
        <v>36361859</v>
      </c>
      <c r="D21" s="3" t="s">
        <v>49</v>
      </c>
      <c r="E21" s="16">
        <v>164300000000</v>
      </c>
      <c r="F21" s="5">
        <v>3367.6439399999999</v>
      </c>
      <c r="G21" s="3">
        <f t="shared" si="1"/>
        <v>48787818.108822986</v>
      </c>
      <c r="H21" s="3">
        <f>(G21*'OOP Exp.'!C20)/(100-'OOP Exp.'!C20)</f>
        <v>86733898.860129759</v>
      </c>
      <c r="I21" s="3">
        <f>H21+G21</f>
        <v>135521716.96895275</v>
      </c>
      <c r="J21" s="4">
        <f>I21/C21</f>
        <v>3.7270293845249425</v>
      </c>
      <c r="K21" s="20">
        <v>38465</v>
      </c>
      <c r="L21" s="3">
        <f>I21/K21</f>
        <v>3523.247548913369</v>
      </c>
      <c r="M21" s="3"/>
    </row>
    <row r="22" spans="1:13">
      <c r="A22" s="28" t="s">
        <v>50</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F0EC6-5A80-4D32-8A9C-5A094F4C3C84}">
  <dimension ref="A1:T71"/>
  <sheetViews>
    <sheetView workbookViewId="0">
      <selection sqref="A1:G1"/>
    </sheetView>
  </sheetViews>
  <sheetFormatPr defaultRowHeight="15"/>
  <cols>
    <col min="1" max="1" width="14.28515625" customWidth="1"/>
    <col min="2" max="2" width="25.85546875" customWidth="1"/>
    <col min="3" max="3" width="14.85546875" customWidth="1"/>
    <col min="4" max="4" width="13.7109375" customWidth="1"/>
    <col min="5" max="5" width="14.28515625" customWidth="1"/>
    <col min="6" max="6" width="13" customWidth="1"/>
    <col min="7" max="7" width="12.85546875" customWidth="1"/>
    <col min="8" max="8" width="17.28515625" customWidth="1"/>
    <col min="9" max="9" width="12.42578125" customWidth="1"/>
    <col min="10" max="10" width="16.85546875" customWidth="1"/>
    <col min="11" max="11" width="11.42578125" customWidth="1"/>
    <col min="12" max="12" width="20.42578125" customWidth="1"/>
    <col min="13" max="13" width="12.5703125" customWidth="1"/>
  </cols>
  <sheetData>
    <row r="1" spans="1:12" ht="65.25" customHeight="1">
      <c r="A1" s="108" t="s">
        <v>51</v>
      </c>
      <c r="B1" s="108"/>
      <c r="C1" s="108"/>
      <c r="D1" s="108"/>
      <c r="E1" s="108"/>
      <c r="F1" s="108"/>
      <c r="G1" s="108"/>
      <c r="H1" s="12"/>
      <c r="I1" s="12"/>
      <c r="J1" s="12"/>
    </row>
    <row r="2" spans="1:12">
      <c r="A2" s="35" t="s">
        <v>18</v>
      </c>
    </row>
    <row r="3" spans="1:12">
      <c r="A3" s="36" t="s">
        <v>52</v>
      </c>
      <c r="B3" s="36" t="s">
        <v>53</v>
      </c>
      <c r="C3" s="44" t="s">
        <v>54</v>
      </c>
      <c r="D3" s="44" t="s">
        <v>55</v>
      </c>
      <c r="E3" s="44" t="s">
        <v>56</v>
      </c>
      <c r="F3" s="44" t="s">
        <v>57</v>
      </c>
      <c r="G3" s="44" t="s">
        <v>58</v>
      </c>
      <c r="H3" s="37" t="s">
        <v>59</v>
      </c>
      <c r="I3" s="58" t="s">
        <v>60</v>
      </c>
      <c r="J3" s="64" t="s">
        <v>61</v>
      </c>
      <c r="K3" s="65" t="s">
        <v>62</v>
      </c>
      <c r="L3" s="65" t="s">
        <v>63</v>
      </c>
    </row>
    <row r="4" spans="1:12">
      <c r="A4" s="3">
        <v>2021</v>
      </c>
      <c r="B4" s="16">
        <f>(5330+87+200)*1000000</f>
        <v>5617000000</v>
      </c>
      <c r="C4" s="3">
        <v>1.0180659299999999</v>
      </c>
      <c r="D4" s="3">
        <v>1.0180659299999999</v>
      </c>
      <c r="E4" s="3">
        <v>1.0798587900000001</v>
      </c>
      <c r="F4" s="3">
        <v>1.03100276</v>
      </c>
      <c r="G4" s="3">
        <v>1.0140106099999999</v>
      </c>
      <c r="H4" s="13">
        <f>B4*E4*F4*G4</f>
        <v>6341233112.690855</v>
      </c>
      <c r="I4" s="42">
        <v>147.23110500000001</v>
      </c>
      <c r="J4" s="16">
        <f>H4/I4</f>
        <v>43069928.142499879</v>
      </c>
      <c r="K4" s="38">
        <v>2962300</v>
      </c>
      <c r="L4" s="3">
        <f>J4/K4</f>
        <v>14.539353928535219</v>
      </c>
    </row>
    <row r="5" spans="1:12">
      <c r="A5" s="3">
        <v>2022</v>
      </c>
      <c r="B5" s="16">
        <f>(9474+2889)*1000000</f>
        <v>12363000000</v>
      </c>
      <c r="C5" s="3">
        <v>1.0180659299999999</v>
      </c>
      <c r="D5" s="3">
        <v>1.0180659299999999</v>
      </c>
      <c r="E5" s="3">
        <v>1.0798587900000001</v>
      </c>
      <c r="F5" s="3">
        <v>1.03100276</v>
      </c>
      <c r="G5" s="3">
        <v>1.0140106099999999</v>
      </c>
      <c r="H5" s="13">
        <f>B5*F5*G5</f>
        <v>12924870379.692684</v>
      </c>
      <c r="I5" s="38">
        <v>147.23110500000001</v>
      </c>
      <c r="J5" s="16">
        <f t="shared" ref="J5:J7" si="0">H5/I5</f>
        <v>87786275.730883658</v>
      </c>
      <c r="K5" s="5">
        <v>2969200</v>
      </c>
      <c r="L5" s="3">
        <f t="shared" ref="L5:L7" si="1">J5/K5</f>
        <v>29.565632402964994</v>
      </c>
    </row>
    <row r="6" spans="1:12">
      <c r="A6" s="3">
        <v>2023</v>
      </c>
      <c r="B6" s="16">
        <f>13412*1000000</f>
        <v>13412000000</v>
      </c>
      <c r="C6" s="3">
        <v>1.0180659299999999</v>
      </c>
      <c r="D6" s="3">
        <v>1.0180659299999999</v>
      </c>
      <c r="E6" s="3">
        <v>1.0798587900000001</v>
      </c>
      <c r="F6" s="3">
        <v>1.03100276</v>
      </c>
      <c r="G6" s="3">
        <v>1.0140106099999999</v>
      </c>
      <c r="H6" s="13">
        <f>B6*G6</f>
        <v>13599910301.32</v>
      </c>
      <c r="I6" s="38">
        <v>147.23110500000001</v>
      </c>
      <c r="J6" s="16">
        <f t="shared" si="0"/>
        <v>92371175.923185512</v>
      </c>
      <c r="K6" s="5">
        <v>2964300</v>
      </c>
      <c r="L6" s="3">
        <f t="shared" si="1"/>
        <v>31.161210377892086</v>
      </c>
    </row>
    <row r="7" spans="1:12">
      <c r="A7" s="3">
        <v>2024</v>
      </c>
      <c r="B7" s="16">
        <v>12958405888</v>
      </c>
      <c r="C7" s="3">
        <v>1.0180659299999999</v>
      </c>
      <c r="D7" s="3">
        <v>1.0180659299999999</v>
      </c>
      <c r="E7" s="3">
        <v>1.0798587900000001</v>
      </c>
      <c r="F7" s="3">
        <v>1.03100276</v>
      </c>
      <c r="G7" s="3">
        <v>1.0140106099999999</v>
      </c>
      <c r="H7" s="13">
        <f>B7</f>
        <v>12958405888</v>
      </c>
      <c r="I7" s="38">
        <v>147.23110500000001</v>
      </c>
      <c r="J7" s="16">
        <f t="shared" si="0"/>
        <v>88014050.346222684</v>
      </c>
      <c r="K7" s="5">
        <v>3033500</v>
      </c>
      <c r="L7" s="3">
        <f t="shared" si="1"/>
        <v>29.014026815962644</v>
      </c>
    </row>
    <row r="9" spans="1:12">
      <c r="A9" s="39" t="s">
        <v>39</v>
      </c>
      <c r="B9" s="40"/>
      <c r="C9" s="40"/>
      <c r="D9" s="40"/>
    </row>
    <row r="10" spans="1:12">
      <c r="A10" s="36" t="s">
        <v>52</v>
      </c>
      <c r="B10" s="36" t="s">
        <v>64</v>
      </c>
      <c r="C10" s="44" t="s">
        <v>54</v>
      </c>
      <c r="D10" s="44" t="s">
        <v>55</v>
      </c>
      <c r="E10" s="44" t="s">
        <v>56</v>
      </c>
      <c r="F10" s="44" t="s">
        <v>57</v>
      </c>
      <c r="G10" s="44" t="s">
        <v>58</v>
      </c>
      <c r="H10" s="37" t="s">
        <v>59</v>
      </c>
      <c r="I10" s="58" t="s">
        <v>60</v>
      </c>
      <c r="J10" s="63" t="s">
        <v>61</v>
      </c>
      <c r="K10" s="65" t="s">
        <v>62</v>
      </c>
      <c r="L10" s="65" t="s">
        <v>65</v>
      </c>
    </row>
    <row r="11" spans="1:12">
      <c r="A11" s="41">
        <v>2020</v>
      </c>
      <c r="B11" s="66">
        <v>397979172</v>
      </c>
      <c r="C11" s="3">
        <v>1.0240777999999999</v>
      </c>
      <c r="D11" s="3">
        <v>1.02244084</v>
      </c>
      <c r="E11" s="3">
        <v>1.07333875</v>
      </c>
      <c r="F11" s="3">
        <v>1.1002459</v>
      </c>
      <c r="G11" s="3">
        <v>1.0339369700000001</v>
      </c>
      <c r="H11" s="68">
        <f>B11*D11*E11*F11*G11</f>
        <v>496842987.59144408</v>
      </c>
      <c r="I11" s="42">
        <v>0.51202499999999995</v>
      </c>
      <c r="J11" s="22">
        <f>H11/I11</f>
        <v>970349079.81337655</v>
      </c>
      <c r="K11" s="43">
        <v>5458827</v>
      </c>
      <c r="L11" s="41">
        <f>J11/K11</f>
        <v>177.75780031376274</v>
      </c>
    </row>
    <row r="12" spans="1:12">
      <c r="A12" s="3">
        <v>2021</v>
      </c>
      <c r="B12" s="67">
        <v>461764780</v>
      </c>
      <c r="C12" s="3">
        <v>1.0240777999999999</v>
      </c>
      <c r="D12" s="3">
        <v>1.02244084</v>
      </c>
      <c r="E12" s="3">
        <v>1.07333875</v>
      </c>
      <c r="F12" s="3">
        <v>1.1002459</v>
      </c>
      <c r="G12" s="3">
        <v>1.0339369700000001</v>
      </c>
      <c r="H12" s="13">
        <f>B12*E12*F12*G12</f>
        <v>563821246.11339569</v>
      </c>
      <c r="I12" s="38">
        <v>0.51202499999999995</v>
      </c>
      <c r="J12" s="16">
        <f t="shared" ref="J12:J14" si="2">H12/I12</f>
        <v>1101159603.756449</v>
      </c>
      <c r="K12" s="5">
        <v>5447247</v>
      </c>
      <c r="L12" s="3">
        <f t="shared" ref="L12:L14" si="3">J12/K12</f>
        <v>202.1497471578669</v>
      </c>
    </row>
    <row r="13" spans="1:12">
      <c r="A13" s="3">
        <v>2022</v>
      </c>
      <c r="B13" s="67">
        <v>498861346</v>
      </c>
      <c r="C13" s="3">
        <v>1.0240777999999999</v>
      </c>
      <c r="D13" s="3">
        <v>1.02244084</v>
      </c>
      <c r="E13" s="3">
        <v>1.07333875</v>
      </c>
      <c r="F13" s="3">
        <v>1.1002459</v>
      </c>
      <c r="G13" s="3">
        <v>1.0339369700000001</v>
      </c>
      <c r="H13" s="13">
        <f>B13*F13*G13</f>
        <v>567497140.43995821</v>
      </c>
      <c r="I13" s="38">
        <v>0.51202499999999995</v>
      </c>
      <c r="J13" s="16">
        <f t="shared" si="2"/>
        <v>1108338734.3195317</v>
      </c>
      <c r="K13" s="5">
        <v>5431752</v>
      </c>
      <c r="L13" s="3">
        <f t="shared" si="3"/>
        <v>204.04811087095501</v>
      </c>
    </row>
    <row r="14" spans="1:12">
      <c r="A14" s="3">
        <v>2023</v>
      </c>
      <c r="B14" s="67">
        <v>524427024.10000002</v>
      </c>
      <c r="C14" s="3">
        <v>1.0240777999999999</v>
      </c>
      <c r="D14" s="3">
        <v>1.02244084</v>
      </c>
      <c r="E14" s="3">
        <v>1.07333875</v>
      </c>
      <c r="F14" s="3">
        <v>1.1002459</v>
      </c>
      <c r="G14" s="3">
        <v>1.0339369700000001</v>
      </c>
      <c r="H14" s="13">
        <f>B14*G14</f>
        <v>542224488.28407109</v>
      </c>
      <c r="I14" s="38">
        <v>0.51202499999999995</v>
      </c>
      <c r="J14" s="16">
        <f t="shared" si="2"/>
        <v>1058980495.6478124</v>
      </c>
      <c r="K14" s="5">
        <v>5426740</v>
      </c>
      <c r="L14" s="3">
        <f>J14/K14</f>
        <v>195.14118893623288</v>
      </c>
    </row>
    <row r="16" spans="1:12">
      <c r="A16" s="45" t="s">
        <v>29</v>
      </c>
    </row>
    <row r="17" spans="1:13">
      <c r="A17" s="44" t="s">
        <v>52</v>
      </c>
      <c r="B17" s="44" t="s">
        <v>66</v>
      </c>
      <c r="C17" s="44" t="s">
        <v>54</v>
      </c>
      <c r="D17" s="44" t="s">
        <v>55</v>
      </c>
      <c r="E17" s="44" t="s">
        <v>56</v>
      </c>
      <c r="F17" s="44" t="s">
        <v>57</v>
      </c>
      <c r="G17" s="44" t="s">
        <v>58</v>
      </c>
      <c r="H17" s="61" t="s">
        <v>59</v>
      </c>
      <c r="I17" s="72" t="s">
        <v>60</v>
      </c>
      <c r="J17" s="62" t="s">
        <v>61</v>
      </c>
      <c r="K17" s="75" t="s">
        <v>62</v>
      </c>
      <c r="L17" s="75" t="s">
        <v>63</v>
      </c>
    </row>
    <row r="18" spans="1:13">
      <c r="A18" s="16">
        <v>2019</v>
      </c>
      <c r="B18" s="11">
        <v>50600000000</v>
      </c>
      <c r="C18" s="3">
        <v>1.0421085800000001</v>
      </c>
      <c r="D18" s="3">
        <v>1.1393007500000001</v>
      </c>
      <c r="E18" s="3">
        <v>1.19769006</v>
      </c>
      <c r="F18" s="3">
        <v>1.0952224699999999</v>
      </c>
      <c r="G18" s="3">
        <v>1.08993316</v>
      </c>
      <c r="H18" s="3">
        <f>B18*C18*D18*E18*F18*G18</f>
        <v>85891171842.37178</v>
      </c>
      <c r="I18" s="38">
        <v>162.334081</v>
      </c>
      <c r="J18" s="3">
        <f>H18/I18</f>
        <v>529101291.07375658</v>
      </c>
      <c r="K18" s="5">
        <v>19209555</v>
      </c>
      <c r="L18" s="13">
        <f>J18/K18</f>
        <v>27.543651639705168</v>
      </c>
    </row>
    <row r="19" spans="1:13">
      <c r="A19" s="16">
        <v>2020</v>
      </c>
      <c r="B19" s="11">
        <v>65200000000</v>
      </c>
      <c r="C19" s="3">
        <v>1.0421085800000001</v>
      </c>
      <c r="D19" s="3">
        <v>1.1393007500000001</v>
      </c>
      <c r="E19" s="3">
        <v>1.19769006</v>
      </c>
      <c r="F19" s="3">
        <v>1.0952224699999999</v>
      </c>
      <c r="G19" s="3">
        <v>1.08993316</v>
      </c>
      <c r="H19" s="3">
        <f>B19*D19*E19*F19*G19</f>
        <v>106201985287.82393</v>
      </c>
      <c r="I19" s="38">
        <v>162.334081</v>
      </c>
      <c r="J19" s="3">
        <f t="shared" ref="J19:J24" si="4">H19/I19</f>
        <v>654218662.11706913</v>
      </c>
      <c r="K19" s="5">
        <v>19482117</v>
      </c>
      <c r="L19" s="13">
        <f t="shared" ref="L19:L24" si="5">J19/K19</f>
        <v>33.580470855249928</v>
      </c>
    </row>
    <row r="20" spans="1:13">
      <c r="A20" s="16">
        <v>2021</v>
      </c>
      <c r="B20" s="11">
        <v>82200000000</v>
      </c>
      <c r="C20" s="3">
        <v>1.0421085800000001</v>
      </c>
      <c r="D20" s="3">
        <v>1.1393007500000001</v>
      </c>
      <c r="E20" s="3">
        <v>1.19769006</v>
      </c>
      <c r="F20" s="3">
        <v>1.0952224699999999</v>
      </c>
      <c r="G20" s="3">
        <v>1.08993316</v>
      </c>
      <c r="H20" s="3">
        <f>B20*E20*F20*G20</f>
        <v>117521810613.48331</v>
      </c>
      <c r="I20" s="38">
        <v>162.334081</v>
      </c>
      <c r="J20" s="3">
        <f t="shared" si="4"/>
        <v>723950324.47612345</v>
      </c>
      <c r="K20" s="5">
        <v>19743603</v>
      </c>
      <c r="L20" s="13">
        <f t="shared" si="5"/>
        <v>36.667589217435314</v>
      </c>
    </row>
    <row r="21" spans="1:13">
      <c r="A21" s="16">
        <v>2022</v>
      </c>
      <c r="B21" s="50">
        <v>121329000000</v>
      </c>
      <c r="C21" s="3">
        <v>1.0421085800000001</v>
      </c>
      <c r="D21" s="3">
        <v>1.1393007500000001</v>
      </c>
      <c r="E21" s="3">
        <v>1.19769006</v>
      </c>
      <c r="F21" s="3">
        <v>1.0952224699999999</v>
      </c>
      <c r="G21" s="3">
        <v>1.08993316</v>
      </c>
      <c r="H21" s="3">
        <f>B21*F21*G21</f>
        <v>144832767448.87302</v>
      </c>
      <c r="I21" s="38">
        <v>162.334081</v>
      </c>
      <c r="J21" s="3">
        <f t="shared" si="4"/>
        <v>892189530.11396921</v>
      </c>
      <c r="K21" s="5">
        <v>20034609</v>
      </c>
      <c r="L21" s="13">
        <f t="shared" si="5"/>
        <v>44.532415387491177</v>
      </c>
    </row>
    <row r="22" spans="1:13">
      <c r="A22" s="16">
        <v>2023</v>
      </c>
      <c r="B22" s="50">
        <v>183400000000</v>
      </c>
      <c r="C22" s="3">
        <v>1.0421085800000001</v>
      </c>
      <c r="D22" s="3">
        <v>1.1393007500000001</v>
      </c>
      <c r="E22" s="3">
        <v>1.19769006</v>
      </c>
      <c r="F22" s="3">
        <v>1.0952224699999999</v>
      </c>
      <c r="G22" s="3">
        <v>1.08993316</v>
      </c>
      <c r="H22" s="3">
        <f>B22*G22</f>
        <v>199893741544</v>
      </c>
      <c r="I22" s="38">
        <v>162.334081</v>
      </c>
      <c r="J22" s="3">
        <f t="shared" si="4"/>
        <v>1231372613.2715163</v>
      </c>
      <c r="K22" s="5">
        <v>20330104</v>
      </c>
      <c r="L22" s="13">
        <f t="shared" si="5"/>
        <v>60.568928386766558</v>
      </c>
    </row>
    <row r="23" spans="1:13">
      <c r="A23" s="71">
        <v>2024</v>
      </c>
      <c r="B23" s="50">
        <v>193938000000</v>
      </c>
      <c r="C23" s="3">
        <v>1.0421085800000001</v>
      </c>
      <c r="D23" s="3">
        <v>1.1393007500000001</v>
      </c>
      <c r="E23" s="3">
        <v>1.19769006</v>
      </c>
      <c r="F23" s="3">
        <v>1.0952224699999999</v>
      </c>
      <c r="G23" s="3">
        <v>1.08993316</v>
      </c>
      <c r="H23" s="8">
        <f>B23</f>
        <v>193938000000</v>
      </c>
      <c r="I23" s="38">
        <v>162.334081</v>
      </c>
      <c r="J23" s="3">
        <f t="shared" si="4"/>
        <v>1194684435.9811296</v>
      </c>
      <c r="K23" s="5">
        <v>20592571</v>
      </c>
      <c r="L23" s="13">
        <f t="shared" si="5"/>
        <v>58.015312220175403</v>
      </c>
    </row>
    <row r="24" spans="1:13">
      <c r="A24" s="16">
        <v>2025</v>
      </c>
      <c r="B24" s="8">
        <f>174149278000+36610165000</f>
        <v>210759443000</v>
      </c>
      <c r="C24" s="3">
        <v>1.0421085800000001</v>
      </c>
      <c r="D24" s="3">
        <v>1.1393007500000001</v>
      </c>
      <c r="E24" s="3">
        <v>1.19769006</v>
      </c>
      <c r="F24" s="3">
        <v>1.0952224699999999</v>
      </c>
      <c r="G24" s="3">
        <v>1.08993316</v>
      </c>
      <c r="H24" s="3">
        <f>B24/1.09605109</f>
        <v>192289798279.38495</v>
      </c>
      <c r="I24" s="38">
        <v>162.334081</v>
      </c>
      <c r="J24" s="3">
        <f t="shared" si="4"/>
        <v>1184531289.393168</v>
      </c>
      <c r="K24" s="3">
        <v>20843754</v>
      </c>
      <c r="L24" s="13">
        <f t="shared" si="5"/>
        <v>56.829076441468651</v>
      </c>
      <c r="M24">
        <v>1.09605109</v>
      </c>
    </row>
    <row r="26" spans="1:13">
      <c r="A26" s="45" t="s">
        <v>67</v>
      </c>
    </row>
    <row r="27" spans="1:13">
      <c r="A27" s="44" t="s">
        <v>52</v>
      </c>
      <c r="B27" s="44" t="s">
        <v>68</v>
      </c>
      <c r="C27" s="44" t="s">
        <v>54</v>
      </c>
      <c r="D27" s="44" t="s">
        <v>55</v>
      </c>
      <c r="E27" s="44" t="s">
        <v>56</v>
      </c>
      <c r="F27" s="44" t="s">
        <v>57</v>
      </c>
      <c r="G27" s="44" t="s">
        <v>58</v>
      </c>
      <c r="H27" s="61" t="s">
        <v>59</v>
      </c>
      <c r="I27" s="72" t="s">
        <v>60</v>
      </c>
      <c r="J27" s="62" t="s">
        <v>61</v>
      </c>
      <c r="K27" s="75" t="s">
        <v>62</v>
      </c>
      <c r="L27" s="75" t="s">
        <v>63</v>
      </c>
    </row>
    <row r="28" spans="1:13">
      <c r="A28" s="16">
        <v>2019</v>
      </c>
      <c r="B28" s="38">
        <f>200.4*1000000000</f>
        <v>200400000000</v>
      </c>
      <c r="C28" s="3">
        <v>1.0089824599999999</v>
      </c>
      <c r="D28" s="3">
        <v>1.1820910099999999</v>
      </c>
      <c r="E28" s="3">
        <v>1.1822961299999999</v>
      </c>
      <c r="F28" s="3">
        <v>1.0665888699999999</v>
      </c>
      <c r="G28" s="16">
        <v>1.10652846</v>
      </c>
      <c r="H28" s="3">
        <f>B28*C28*D28*E28*F28*G28</f>
        <v>333517135598.75391</v>
      </c>
      <c r="I28" s="74">
        <v>29.0629746</v>
      </c>
      <c r="J28" s="3">
        <f>H28/I28</f>
        <v>11475671027.794722</v>
      </c>
      <c r="K28" s="5">
        <v>145453291</v>
      </c>
      <c r="L28" s="13">
        <f>J28/K28</f>
        <v>78.895918744077932</v>
      </c>
    </row>
    <row r="29" spans="1:13">
      <c r="A29" s="16">
        <v>2020</v>
      </c>
      <c r="B29" s="11">
        <f>271.3*1000000000</f>
        <v>271300000000</v>
      </c>
      <c r="C29" s="3">
        <v>1.0089824599999999</v>
      </c>
      <c r="D29" s="3">
        <v>1.1820910099999999</v>
      </c>
      <c r="E29" s="3">
        <v>1.1822961299999999</v>
      </c>
      <c r="F29" s="3">
        <v>1.0665888699999999</v>
      </c>
      <c r="G29" s="16">
        <v>1.10652846</v>
      </c>
      <c r="H29" s="3">
        <f>B29*D29*E29*F29*G29</f>
        <v>447493377142.25909</v>
      </c>
      <c r="I29" s="74">
        <v>29.0629746</v>
      </c>
      <c r="J29" s="3">
        <f>H29/I29</f>
        <v>15397370135.067286</v>
      </c>
      <c r="K29" s="5">
        <v>145245148</v>
      </c>
      <c r="L29" s="13">
        <f t="shared" ref="L29:L34" si="6">J29/K29</f>
        <v>106.00953179563207</v>
      </c>
    </row>
    <row r="30" spans="1:13">
      <c r="A30" s="16">
        <v>2021</v>
      </c>
      <c r="B30" s="11">
        <f>307.8*1000000000</f>
        <v>307800000000</v>
      </c>
      <c r="C30" s="3">
        <v>1.0089824599999999</v>
      </c>
      <c r="D30" s="3">
        <v>1.1820910099999999</v>
      </c>
      <c r="E30" s="3">
        <v>1.1822961299999999</v>
      </c>
      <c r="F30" s="3">
        <v>1.0665888699999999</v>
      </c>
      <c r="G30" s="3">
        <v>1.10652846</v>
      </c>
      <c r="H30" s="41">
        <f>B30*E30*F30*G30</f>
        <v>429491446851.71832</v>
      </c>
      <c r="I30" s="38">
        <v>29.0629746</v>
      </c>
      <c r="J30" s="3">
        <f>H30/I30</f>
        <v>14777958992.942116</v>
      </c>
      <c r="K30" s="5">
        <v>144746762</v>
      </c>
      <c r="L30" s="13">
        <f t="shared" si="6"/>
        <v>102.09526478348522</v>
      </c>
    </row>
    <row r="31" spans="1:13">
      <c r="A31" s="16">
        <v>2022</v>
      </c>
      <c r="B31" s="11">
        <f>327.1*1000000000</f>
        <v>327100000000</v>
      </c>
      <c r="C31" s="3">
        <v>1.0089824599999999</v>
      </c>
      <c r="D31" s="3">
        <v>1.1820910099999999</v>
      </c>
      <c r="E31" s="3">
        <v>1.1822961299999999</v>
      </c>
      <c r="F31" s="3">
        <v>1.0665888699999999</v>
      </c>
      <c r="G31" s="3">
        <v>1.10652846</v>
      </c>
      <c r="H31" s="3">
        <f>B31*F31*G31</f>
        <v>386046998400.15399</v>
      </c>
      <c r="I31" s="38">
        <v>29.0629746</v>
      </c>
      <c r="J31" s="3">
        <f>H31/I31</f>
        <v>13283120661.714853</v>
      </c>
      <c r="K31" s="5">
        <v>144236933</v>
      </c>
      <c r="L31" s="13">
        <f t="shared" si="6"/>
        <v>92.092367644248597</v>
      </c>
    </row>
    <row r="32" spans="1:13">
      <c r="A32" s="16">
        <v>2023</v>
      </c>
      <c r="B32" s="11">
        <f>369.5248*1000000000</f>
        <v>369524800000</v>
      </c>
      <c r="C32" s="3">
        <v>1.0089824599999999</v>
      </c>
      <c r="D32" s="3">
        <v>1.1820910099999999</v>
      </c>
      <c r="E32" s="3">
        <v>1.1822961299999999</v>
      </c>
      <c r="F32" s="3">
        <v>1.0665888699999999</v>
      </c>
      <c r="G32" s="3">
        <v>1.10652846</v>
      </c>
      <c r="H32" s="3">
        <f>B32*G32</f>
        <v>408889707875.80804</v>
      </c>
      <c r="I32" s="38">
        <v>29.0629746</v>
      </c>
      <c r="J32" s="3">
        <f>H32/I32</f>
        <v>14069093528.912489</v>
      </c>
      <c r="K32" s="5">
        <v>143826130</v>
      </c>
      <c r="L32" s="13">
        <f t="shared" si="6"/>
        <v>97.82014943259955</v>
      </c>
    </row>
    <row r="33" spans="1:20">
      <c r="A33" s="71">
        <v>2024</v>
      </c>
      <c r="B33" s="3">
        <f>386.6*1000000000</f>
        <v>386600000000</v>
      </c>
      <c r="C33" s="3">
        <v>1.0089824599999999</v>
      </c>
      <c r="D33" s="3">
        <v>1.1820910099999999</v>
      </c>
      <c r="E33" s="3">
        <v>1.1822961299999999</v>
      </c>
      <c r="F33" s="3">
        <v>1.0665888699999999</v>
      </c>
      <c r="G33" s="3">
        <v>1.10652846</v>
      </c>
      <c r="H33" s="3">
        <f>B33</f>
        <v>386600000000</v>
      </c>
      <c r="I33" s="38">
        <v>29.0629746</v>
      </c>
      <c r="J33" s="3">
        <f>H33/I33</f>
        <v>13302148363.024065</v>
      </c>
      <c r="K33" s="3">
        <v>143669648</v>
      </c>
      <c r="L33" s="13">
        <f t="shared" si="6"/>
        <v>92.588438464219422</v>
      </c>
    </row>
    <row r="34" spans="1:20">
      <c r="A34" s="16">
        <v>2025</v>
      </c>
      <c r="B34" s="3">
        <f>434.5*1000000000</f>
        <v>434500000000</v>
      </c>
      <c r="C34" s="3">
        <v>1.0089824599999999</v>
      </c>
      <c r="D34" s="3">
        <v>1.1820910099999999</v>
      </c>
      <c r="E34" s="3">
        <v>1.1822961299999999</v>
      </c>
      <c r="F34" s="3">
        <v>1.0665888699999999</v>
      </c>
      <c r="G34" s="3">
        <v>1.10652846</v>
      </c>
      <c r="H34" s="3">
        <f>B34/1.04852053</f>
        <v>414393412020.26819</v>
      </c>
      <c r="I34" s="38">
        <v>29.0629746</v>
      </c>
      <c r="J34" s="3">
        <f>H34/I34</f>
        <v>14258465202.672964</v>
      </c>
      <c r="K34" s="3">
        <v>143513328</v>
      </c>
      <c r="L34" s="13">
        <f t="shared" si="6"/>
        <v>99.352899144481995</v>
      </c>
      <c r="M34" t="s">
        <v>69</v>
      </c>
    </row>
    <row r="36" spans="1:20">
      <c r="A36" s="45" t="s">
        <v>70</v>
      </c>
    </row>
    <row r="37" spans="1:20">
      <c r="A37" s="46" t="s">
        <v>52</v>
      </c>
      <c r="B37" s="46" t="s">
        <v>71</v>
      </c>
      <c r="C37" s="46" t="s">
        <v>54</v>
      </c>
      <c r="D37" s="46" t="s">
        <v>55</v>
      </c>
      <c r="E37" s="46" t="s">
        <v>56</v>
      </c>
      <c r="F37" s="46" t="s">
        <v>57</v>
      </c>
      <c r="G37" s="46" t="s">
        <v>58</v>
      </c>
      <c r="H37" s="59" t="s">
        <v>59</v>
      </c>
      <c r="I37" s="72" t="s">
        <v>60</v>
      </c>
      <c r="J37" s="60" t="s">
        <v>61</v>
      </c>
      <c r="K37" s="76" t="s">
        <v>62</v>
      </c>
      <c r="L37" s="76" t="s">
        <v>65</v>
      </c>
    </row>
    <row r="38" spans="1:20">
      <c r="A38" s="51">
        <v>2020</v>
      </c>
      <c r="B38" s="73">
        <v>296257806.27999997</v>
      </c>
      <c r="C38" s="3">
        <v>1.0557500900000001</v>
      </c>
      <c r="D38" s="3">
        <v>1.06381729</v>
      </c>
      <c r="E38" s="3">
        <v>1.18914969</v>
      </c>
      <c r="F38" s="3">
        <v>1.0929076099999999</v>
      </c>
      <c r="G38" s="3">
        <v>1.0642522599999999</v>
      </c>
      <c r="H38" s="47">
        <f>B38*D38*E38*F38*G38</f>
        <v>435914590.25360548</v>
      </c>
      <c r="I38" s="38">
        <v>7.2411629599999996</v>
      </c>
      <c r="J38" s="47">
        <f>H38/I38</f>
        <v>60199527.708682515</v>
      </c>
      <c r="K38" s="5">
        <v>2635130</v>
      </c>
      <c r="L38" s="52">
        <f>J38/K38</f>
        <v>22.844993495077098</v>
      </c>
    </row>
    <row r="39" spans="1:20">
      <c r="A39" s="51">
        <v>2021</v>
      </c>
      <c r="B39" s="73">
        <v>405230464.36000001</v>
      </c>
      <c r="C39" s="3">
        <v>1.0557500900000001</v>
      </c>
      <c r="D39" s="3">
        <v>1.06381729</v>
      </c>
      <c r="E39" s="3">
        <v>1.18914969</v>
      </c>
      <c r="F39" s="3">
        <v>1.0929076099999999</v>
      </c>
      <c r="G39" s="3">
        <v>1.0642522599999999</v>
      </c>
      <c r="H39" s="47">
        <f t="shared" ref="H39:H42" si="7">B39*D39*E39*F39*G39</f>
        <v>596257273.51405454</v>
      </c>
      <c r="I39" s="38">
        <v>7.2411629599999996</v>
      </c>
      <c r="J39" s="47">
        <f t="shared" ref="J39:J42" si="8">H39/I39</f>
        <v>82342750.302370563</v>
      </c>
      <c r="K39" s="5">
        <v>2595809</v>
      </c>
      <c r="L39" s="52">
        <f t="shared" ref="L39:L42" si="9">J39/K39</f>
        <v>31.721421068487921</v>
      </c>
    </row>
    <row r="40" spans="1:20">
      <c r="A40" s="51">
        <v>2022</v>
      </c>
      <c r="B40" s="73">
        <v>461986452.12</v>
      </c>
      <c r="C40" s="3">
        <v>1.0557500900000001</v>
      </c>
      <c r="D40" s="3">
        <v>1.06381729</v>
      </c>
      <c r="E40" s="3">
        <v>1.18914969</v>
      </c>
      <c r="F40" s="3">
        <v>1.0929076099999999</v>
      </c>
      <c r="G40" s="3">
        <v>1.0642522599999999</v>
      </c>
      <c r="H40" s="47">
        <f t="shared" si="7"/>
        <v>679768197.52817464</v>
      </c>
      <c r="I40" s="38">
        <v>7.2411629599999996</v>
      </c>
      <c r="J40" s="47">
        <f t="shared" si="8"/>
        <v>93875555.802734569</v>
      </c>
      <c r="K40" s="5">
        <v>2528654</v>
      </c>
      <c r="L40" s="52">
        <f t="shared" si="9"/>
        <v>37.124713702521014</v>
      </c>
    </row>
    <row r="41" spans="1:20">
      <c r="A41" s="51">
        <v>2023</v>
      </c>
      <c r="B41" s="73">
        <v>527221500</v>
      </c>
      <c r="C41" s="3">
        <v>1.0557500900000001</v>
      </c>
      <c r="D41" s="3">
        <v>1.06381729</v>
      </c>
      <c r="E41" s="3">
        <v>1.18914969</v>
      </c>
      <c r="F41" s="3">
        <v>1.0929076099999999</v>
      </c>
      <c r="G41" s="3">
        <v>1.0642522599999999</v>
      </c>
      <c r="H41" s="47">
        <f>B41*G41</f>
        <v>561096672.89558995</v>
      </c>
      <c r="I41" s="38">
        <v>7.2411629599999996</v>
      </c>
      <c r="J41" s="47">
        <f t="shared" si="8"/>
        <v>77487093.716171518</v>
      </c>
      <c r="K41" s="5">
        <v>2457783</v>
      </c>
      <c r="L41" s="52">
        <f t="shared" si="9"/>
        <v>31.527231540038937</v>
      </c>
    </row>
    <row r="42" spans="1:20">
      <c r="A42" s="51">
        <v>2024</v>
      </c>
      <c r="B42" s="73">
        <v>552520230</v>
      </c>
      <c r="C42" s="3">
        <v>1.0557500900000001</v>
      </c>
      <c r="D42" s="3">
        <v>1.06381729</v>
      </c>
      <c r="E42" s="3">
        <v>1.18914969</v>
      </c>
      <c r="F42" s="3">
        <v>1.0929076099999999</v>
      </c>
      <c r="G42" s="3">
        <v>1.0642522599999999</v>
      </c>
      <c r="H42" s="47">
        <f>B42*D42*E42*F42*G42</f>
        <v>812979859.3041749</v>
      </c>
      <c r="I42" s="38">
        <v>7.2411629599999996</v>
      </c>
      <c r="J42" s="47">
        <f t="shared" si="8"/>
        <v>112272001.58248819</v>
      </c>
      <c r="K42" s="5">
        <v>2402306</v>
      </c>
      <c r="L42" s="52">
        <f t="shared" si="9"/>
        <v>46.735096021276306</v>
      </c>
    </row>
    <row r="44" spans="1:20">
      <c r="A44" s="45" t="s">
        <v>46</v>
      </c>
    </row>
    <row r="45" spans="1:20">
      <c r="A45" s="46" t="s">
        <v>52</v>
      </c>
      <c r="B45" s="46" t="s">
        <v>71</v>
      </c>
      <c r="C45" s="46" t="s">
        <v>54</v>
      </c>
      <c r="D45" s="46" t="s">
        <v>55</v>
      </c>
      <c r="E45" s="46" t="s">
        <v>56</v>
      </c>
      <c r="F45" s="46" t="s">
        <v>57</v>
      </c>
      <c r="G45" s="46" t="s">
        <v>58</v>
      </c>
      <c r="H45" s="46" t="s">
        <v>59</v>
      </c>
      <c r="I45" s="46" t="s">
        <v>60</v>
      </c>
      <c r="J45" s="59" t="s">
        <v>61</v>
      </c>
      <c r="K45" s="77" t="s">
        <v>62</v>
      </c>
      <c r="L45" s="78" t="s">
        <v>63</v>
      </c>
    </row>
    <row r="46" spans="1:20">
      <c r="A46" s="47">
        <v>2020</v>
      </c>
      <c r="B46" s="48">
        <v>3322387607</v>
      </c>
      <c r="C46" s="3">
        <v>1.1029496000000001</v>
      </c>
      <c r="D46" s="3">
        <v>1.24804757</v>
      </c>
      <c r="E46" s="3">
        <v>1.3491528500000001</v>
      </c>
      <c r="F46" s="3">
        <v>1.1987446399999999</v>
      </c>
      <c r="G46" s="3">
        <v>1.1196992100000001</v>
      </c>
      <c r="H46" s="47">
        <f>B46*D46*E46*F46*G46</f>
        <v>7508801824.0461426</v>
      </c>
      <c r="I46" s="38">
        <v>11.665400099999999</v>
      </c>
      <c r="J46" s="47">
        <f>H46/I46</f>
        <v>643681464.81715131</v>
      </c>
      <c r="K46" s="74">
        <v>44680014</v>
      </c>
      <c r="L46" s="52">
        <f>J46/K46</f>
        <v>14.406474107576406</v>
      </c>
    </row>
    <row r="47" spans="1:20">
      <c r="A47" s="47">
        <v>2021</v>
      </c>
      <c r="B47" s="51">
        <v>4865007359</v>
      </c>
      <c r="C47" s="3">
        <v>1.1029496000000001</v>
      </c>
      <c r="D47" s="3">
        <v>1.24804757</v>
      </c>
      <c r="E47" s="3">
        <v>1.3491528500000001</v>
      </c>
      <c r="F47" s="3">
        <v>1.1987446399999999</v>
      </c>
      <c r="G47" s="3">
        <v>1.1196992100000001</v>
      </c>
      <c r="H47" s="47">
        <f t="shared" ref="H47:H51" si="10">B47*D47*E47*F47*G47</f>
        <v>10995218033.648626</v>
      </c>
      <c r="I47" s="38">
        <v>11.665400099999999</v>
      </c>
      <c r="J47" s="47">
        <f t="shared" ref="J47:J51" si="11">H47/I47</f>
        <v>942549585.90306962</v>
      </c>
      <c r="K47" s="52">
        <v>44298640</v>
      </c>
      <c r="L47" s="52">
        <f t="shared" ref="L47:L51" si="12">J47/K47</f>
        <v>21.277167558712179</v>
      </c>
      <c r="N47" s="69"/>
      <c r="O47" s="69"/>
      <c r="P47" s="69"/>
      <c r="Q47" s="69"/>
      <c r="R47" s="69"/>
      <c r="S47" s="69"/>
      <c r="T47" s="69"/>
    </row>
    <row r="48" spans="1:20">
      <c r="A48" s="47">
        <v>2022</v>
      </c>
      <c r="B48" s="51">
        <v>6786455124</v>
      </c>
      <c r="C48" s="3">
        <v>1.1029496000000001</v>
      </c>
      <c r="D48" s="3">
        <v>1.24804757</v>
      </c>
      <c r="E48" s="3">
        <v>1.3491528500000001</v>
      </c>
      <c r="F48" s="3">
        <v>1.1987446399999999</v>
      </c>
      <c r="G48" s="3">
        <v>1.1196992100000001</v>
      </c>
      <c r="H48" s="47">
        <f>B48*F48*G48</f>
        <v>9109006914.1945534</v>
      </c>
      <c r="I48" s="38">
        <v>11.665400099999999</v>
      </c>
      <c r="J48" s="47">
        <f t="shared" si="11"/>
        <v>780856793.26117194</v>
      </c>
      <c r="K48" s="74">
        <v>41048766</v>
      </c>
      <c r="L48" s="52">
        <f t="shared" si="12"/>
        <v>19.022661808181322</v>
      </c>
    </row>
    <row r="49" spans="1:13">
      <c r="A49" s="49">
        <v>2023</v>
      </c>
      <c r="B49" s="70">
        <v>6760402192</v>
      </c>
      <c r="C49" s="3">
        <v>1.1029496000000001</v>
      </c>
      <c r="D49" s="3">
        <v>1.24804757</v>
      </c>
      <c r="E49" s="3">
        <v>1.3491528500000001</v>
      </c>
      <c r="F49" s="3">
        <v>1.1987446399999999</v>
      </c>
      <c r="G49" s="3">
        <v>1.1196992100000001</v>
      </c>
      <c r="H49" s="47">
        <f>B49*G49</f>
        <v>7569616993.664669</v>
      </c>
      <c r="I49" s="38">
        <v>11.665400099999999</v>
      </c>
      <c r="J49" s="47">
        <f t="shared" si="11"/>
        <v>648894759.61177444</v>
      </c>
      <c r="K49" s="74">
        <v>37732836</v>
      </c>
      <c r="L49" s="52">
        <f t="shared" si="12"/>
        <v>17.197084248100897</v>
      </c>
    </row>
    <row r="50" spans="1:13">
      <c r="A50" s="47">
        <v>2024</v>
      </c>
      <c r="B50" s="73">
        <v>7449204281.3999996</v>
      </c>
      <c r="C50" s="3">
        <v>1.1029496000000001</v>
      </c>
      <c r="D50" s="3">
        <v>1.24804757</v>
      </c>
      <c r="E50" s="3">
        <v>1.3491528500000001</v>
      </c>
      <c r="F50" s="3">
        <v>1.1987446399999999</v>
      </c>
      <c r="G50" s="3">
        <v>1.1196992100000001</v>
      </c>
      <c r="H50" s="47">
        <f>B50</f>
        <v>7449204281.3999996</v>
      </c>
      <c r="I50" s="38">
        <v>11.665400099999999</v>
      </c>
      <c r="J50" s="47">
        <f t="shared" si="11"/>
        <v>638572549.38045371</v>
      </c>
      <c r="K50" s="74">
        <v>37860221</v>
      </c>
      <c r="L50" s="52">
        <f t="shared" si="12"/>
        <v>16.866582722283997</v>
      </c>
    </row>
    <row r="51" spans="1:13">
      <c r="A51" s="3">
        <v>2025</v>
      </c>
      <c r="B51" s="16">
        <v>7472203297</v>
      </c>
      <c r="C51" s="3">
        <v>1.1029496000000001</v>
      </c>
      <c r="D51" s="3">
        <v>1.24804757</v>
      </c>
      <c r="E51" s="3">
        <v>1.3491528500000001</v>
      </c>
      <c r="F51" s="3">
        <v>1.1987446399999999</v>
      </c>
      <c r="G51" s="3">
        <v>1.1196992100000001</v>
      </c>
      <c r="H51" s="47">
        <f>B51/1.1447398</f>
        <v>6527425094.331481</v>
      </c>
      <c r="I51" s="38">
        <v>11.665400099999999</v>
      </c>
      <c r="J51" s="47">
        <f t="shared" si="11"/>
        <v>559554326.33052003</v>
      </c>
      <c r="K51" s="74">
        <v>38980376</v>
      </c>
      <c r="L51" s="52">
        <f t="shared" si="12"/>
        <v>14.354769854721772</v>
      </c>
      <c r="M51" t="s">
        <v>72</v>
      </c>
    </row>
    <row r="53" spans="1:13">
      <c r="A53" s="45" t="s">
        <v>25</v>
      </c>
    </row>
    <row r="54" spans="1:13">
      <c r="A54" s="46" t="s">
        <v>52</v>
      </c>
      <c r="B54" s="46" t="s">
        <v>73</v>
      </c>
      <c r="C54" s="46" t="s">
        <v>54</v>
      </c>
      <c r="D54" s="46" t="s">
        <v>55</v>
      </c>
      <c r="E54" s="46" t="s">
        <v>56</v>
      </c>
      <c r="F54" s="46" t="s">
        <v>57</v>
      </c>
      <c r="G54" s="46" t="s">
        <v>58</v>
      </c>
      <c r="H54" s="46" t="s">
        <v>59</v>
      </c>
      <c r="I54" s="46" t="s">
        <v>60</v>
      </c>
      <c r="J54" s="46" t="s">
        <v>61</v>
      </c>
      <c r="K54" s="76" t="s">
        <v>62</v>
      </c>
      <c r="L54" s="76" t="s">
        <v>63</v>
      </c>
    </row>
    <row r="55" spans="1:13">
      <c r="A55" s="3">
        <v>2020</v>
      </c>
      <c r="B55" s="73">
        <v>181484776</v>
      </c>
      <c r="C55" s="3">
        <v>1.0075333799999999</v>
      </c>
      <c r="D55" s="3">
        <v>1.04291493</v>
      </c>
      <c r="E55" s="3">
        <v>1.1684480900000001</v>
      </c>
      <c r="F55" s="3">
        <v>1.08635283</v>
      </c>
      <c r="G55" s="3">
        <v>1.03989844</v>
      </c>
      <c r="H55" s="3">
        <f>B55*D55*E55*F55*G55</f>
        <v>249839058.26461014</v>
      </c>
      <c r="I55" s="38">
        <v>0.58373200000000003</v>
      </c>
      <c r="J55" s="3">
        <f>H55/I55</f>
        <v>428003018.96180117</v>
      </c>
      <c r="K55" s="5">
        <v>1329522</v>
      </c>
      <c r="L55" s="3">
        <f>J55/K55</f>
        <v>321.92247962937142</v>
      </c>
    </row>
    <row r="56" spans="1:13">
      <c r="A56" s="3">
        <v>2021</v>
      </c>
      <c r="B56" s="73">
        <v>192182579</v>
      </c>
      <c r="C56" s="3">
        <v>1.0075333799999999</v>
      </c>
      <c r="D56" s="3">
        <v>1.04291493</v>
      </c>
      <c r="E56" s="3">
        <v>1.1684480900000001</v>
      </c>
      <c r="F56" s="3">
        <v>1.08635283</v>
      </c>
      <c r="G56" s="3">
        <v>1.03989844</v>
      </c>
      <c r="H56" s="3">
        <f>B56*E56*F56*G56</f>
        <v>253679437.9882727</v>
      </c>
      <c r="I56" s="38">
        <v>0.58373200000000003</v>
      </c>
      <c r="J56" s="3">
        <f t="shared" ref="J56:J60" si="13">H56/I56</f>
        <v>434582030.7748636</v>
      </c>
      <c r="K56" s="5">
        <v>1330932</v>
      </c>
      <c r="L56" s="3">
        <f t="shared" ref="L56:L60" si="14">J56/K56</f>
        <v>326.52459387471606</v>
      </c>
    </row>
    <row r="57" spans="1:13">
      <c r="A57" s="3">
        <v>2022</v>
      </c>
      <c r="B57" s="73">
        <v>205951526</v>
      </c>
      <c r="C57" s="3">
        <v>1.0075333799999999</v>
      </c>
      <c r="D57" s="3">
        <v>1.04291493</v>
      </c>
      <c r="E57" s="3">
        <v>1.1684480900000001</v>
      </c>
      <c r="F57" s="3">
        <v>1.08635283</v>
      </c>
      <c r="G57" s="3">
        <v>1.03989844</v>
      </c>
      <c r="H57" s="3">
        <f>B57*F57*G57</f>
        <v>232662741.40692797</v>
      </c>
      <c r="I57" s="38">
        <v>0.58373200000000003</v>
      </c>
      <c r="J57" s="3">
        <f t="shared" si="13"/>
        <v>398578014.2375747</v>
      </c>
      <c r="K57" s="5">
        <v>1348840</v>
      </c>
      <c r="L57" s="3">
        <f t="shared" si="14"/>
        <v>295.49688194120483</v>
      </c>
    </row>
    <row r="58" spans="1:13">
      <c r="A58" s="3">
        <v>2023</v>
      </c>
      <c r="B58" s="73">
        <v>252921565</v>
      </c>
      <c r="C58" s="3">
        <v>1.0075333799999999</v>
      </c>
      <c r="D58" s="3">
        <v>1.04291493</v>
      </c>
      <c r="E58" s="3">
        <v>1.1684480900000001</v>
      </c>
      <c r="F58" s="3">
        <v>1.08635283</v>
      </c>
      <c r="G58" s="3">
        <v>1.03989844</v>
      </c>
      <c r="H58" s="3">
        <f>B58*G58</f>
        <v>263012740.8858586</v>
      </c>
      <c r="I58" s="38">
        <v>0.58373200000000003</v>
      </c>
      <c r="J58" s="3">
        <f t="shared" si="13"/>
        <v>450571051.2458775</v>
      </c>
      <c r="K58" s="5">
        <v>1370286</v>
      </c>
      <c r="L58" s="3">
        <f t="shared" si="14"/>
        <v>328.81533581009916</v>
      </c>
    </row>
    <row r="59" spans="1:13">
      <c r="A59" s="3">
        <v>2024</v>
      </c>
      <c r="B59" s="73">
        <v>293014944</v>
      </c>
      <c r="C59" s="3">
        <v>1.0075333799999999</v>
      </c>
      <c r="D59" s="3">
        <v>1.04291493</v>
      </c>
      <c r="E59" s="3">
        <v>1.1684480900000001</v>
      </c>
      <c r="F59" s="3">
        <v>1.08635283</v>
      </c>
      <c r="G59" s="3">
        <v>1.03989844</v>
      </c>
      <c r="H59" s="3">
        <f>B59</f>
        <v>293014944</v>
      </c>
      <c r="I59" s="38">
        <v>0.58373200000000003</v>
      </c>
      <c r="J59" s="3">
        <f t="shared" si="13"/>
        <v>501968273.11163342</v>
      </c>
      <c r="K59" s="5">
        <v>1372341</v>
      </c>
      <c r="L59" s="3">
        <f t="shared" si="14"/>
        <v>365.7751776793329</v>
      </c>
    </row>
    <row r="60" spans="1:13">
      <c r="A60" s="3">
        <v>2025</v>
      </c>
      <c r="B60" s="51">
        <v>316782803</v>
      </c>
      <c r="C60" s="3">
        <v>1.0075333799999999</v>
      </c>
      <c r="D60" s="3">
        <v>1.04291493</v>
      </c>
      <c r="E60" s="3">
        <v>1.1684480900000001</v>
      </c>
      <c r="F60" s="3">
        <v>1.08635283</v>
      </c>
      <c r="G60" s="3">
        <v>1.03989844</v>
      </c>
      <c r="H60" s="3">
        <f>B60/1.03842884</f>
        <v>305059712.1320321</v>
      </c>
      <c r="I60" s="38">
        <v>0.58373200000000003</v>
      </c>
      <c r="J60" s="3">
        <f t="shared" si="13"/>
        <v>522602345.13789219</v>
      </c>
      <c r="K60" s="3">
        <v>1366475</v>
      </c>
      <c r="L60" s="3">
        <f t="shared" si="14"/>
        <v>382.44559551978057</v>
      </c>
      <c r="M60" t="s">
        <v>74</v>
      </c>
    </row>
    <row r="63" spans="1:13">
      <c r="A63" s="109" t="s">
        <v>75</v>
      </c>
      <c r="B63" s="109"/>
      <c r="C63" s="109"/>
      <c r="D63" s="109"/>
      <c r="E63" s="109"/>
      <c r="F63" s="109"/>
    </row>
    <row r="64" spans="1:13">
      <c r="A64" s="32" t="s">
        <v>52</v>
      </c>
      <c r="B64" s="32" t="s">
        <v>18</v>
      </c>
      <c r="C64" s="32" t="s">
        <v>25</v>
      </c>
      <c r="D64" s="32" t="s">
        <v>29</v>
      </c>
      <c r="E64" s="32" t="s">
        <v>70</v>
      </c>
      <c r="F64" s="32" t="s">
        <v>67</v>
      </c>
      <c r="G64" s="32" t="s">
        <v>39</v>
      </c>
      <c r="H64" s="32" t="s">
        <v>46</v>
      </c>
    </row>
    <row r="65" spans="1:8">
      <c r="A65" s="3">
        <v>2019</v>
      </c>
      <c r="B65" s="3"/>
      <c r="C65" s="3"/>
      <c r="D65" s="3">
        <v>27.543651639705168</v>
      </c>
      <c r="E65" s="3"/>
      <c r="F65" s="3">
        <v>78.895918744077932</v>
      </c>
      <c r="G65" s="3"/>
      <c r="H65" s="3"/>
    </row>
    <row r="66" spans="1:8">
      <c r="A66" s="3">
        <v>2020</v>
      </c>
      <c r="B66" s="3"/>
      <c r="C66" s="3">
        <v>321.92247962937142</v>
      </c>
      <c r="D66" s="3">
        <v>33.580470855249928</v>
      </c>
      <c r="E66" s="3">
        <v>22.844993495077098</v>
      </c>
      <c r="F66" s="3">
        <v>106.00953179563207</v>
      </c>
      <c r="G66" s="3">
        <v>177.75780031376274</v>
      </c>
      <c r="H66" s="3">
        <v>14.406474107576406</v>
      </c>
    </row>
    <row r="67" spans="1:8">
      <c r="A67" s="3">
        <v>2021</v>
      </c>
      <c r="B67" s="3">
        <v>14.539353928535219</v>
      </c>
      <c r="C67" s="3">
        <v>326.52459387471606</v>
      </c>
      <c r="D67" s="3">
        <v>36.667589217435314</v>
      </c>
      <c r="E67" s="3">
        <v>31.721421068487921</v>
      </c>
      <c r="F67" s="3">
        <v>102.09526478348522</v>
      </c>
      <c r="G67" s="3">
        <v>202.1497471578669</v>
      </c>
      <c r="H67" s="3">
        <v>21.277167558712179</v>
      </c>
    </row>
    <row r="68" spans="1:8">
      <c r="A68" s="3">
        <v>2022</v>
      </c>
      <c r="B68" s="3">
        <v>29.565632402964994</v>
      </c>
      <c r="C68" s="3">
        <v>295.49688194120483</v>
      </c>
      <c r="D68" s="3">
        <v>44.532415387491177</v>
      </c>
      <c r="E68" s="3">
        <v>37.124713702521014</v>
      </c>
      <c r="F68" s="3">
        <v>92.092367644248597</v>
      </c>
      <c r="G68" s="3">
        <v>204.04811087095501</v>
      </c>
      <c r="H68" s="3">
        <v>19.022661808181322</v>
      </c>
    </row>
    <row r="69" spans="1:8">
      <c r="A69" s="3">
        <v>2023</v>
      </c>
      <c r="B69" s="3">
        <v>31.161210377892086</v>
      </c>
      <c r="C69" s="3">
        <v>328.81533581009916</v>
      </c>
      <c r="D69" s="3">
        <v>60.568928386766558</v>
      </c>
      <c r="E69" s="3">
        <v>31.527231540038937</v>
      </c>
      <c r="F69" s="3">
        <v>97.82014943259955</v>
      </c>
      <c r="G69" s="3">
        <v>195.14118893623288</v>
      </c>
      <c r="H69" s="3">
        <v>17.197084248100897</v>
      </c>
    </row>
    <row r="70" spans="1:8">
      <c r="A70" s="3">
        <v>2024</v>
      </c>
      <c r="B70" s="3">
        <v>29.014026815962644</v>
      </c>
      <c r="C70" s="3">
        <v>365.7751776793329</v>
      </c>
      <c r="D70" s="3">
        <v>58.015312220175403</v>
      </c>
      <c r="E70" s="3">
        <v>46.735096021276306</v>
      </c>
      <c r="F70" s="3">
        <v>92.588438464219422</v>
      </c>
      <c r="G70" s="3"/>
      <c r="H70" s="3">
        <v>16.866582722283997</v>
      </c>
    </row>
    <row r="71" spans="1:8">
      <c r="A71" s="3">
        <v>2025</v>
      </c>
      <c r="B71" s="3"/>
      <c r="C71" s="3">
        <v>382.44559551978057</v>
      </c>
      <c r="D71" s="3">
        <v>56.829076441468651</v>
      </c>
      <c r="E71" s="3"/>
      <c r="F71" s="3">
        <v>99.352899144481995</v>
      </c>
      <c r="G71" s="3"/>
      <c r="H71" s="3">
        <v>14.354769854721772</v>
      </c>
    </row>
  </sheetData>
  <mergeCells count="2">
    <mergeCell ref="A1:G1"/>
    <mergeCell ref="A63:F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opLeftCell="A3" workbookViewId="0">
      <selection activeCell="F14" sqref="F14"/>
    </sheetView>
  </sheetViews>
  <sheetFormatPr defaultRowHeight="15"/>
  <cols>
    <col min="1" max="1" width="13.42578125" customWidth="1"/>
    <col min="2" max="2" width="15.42578125" customWidth="1"/>
    <col min="3" max="3" width="18" customWidth="1"/>
    <col min="4" max="4" width="32.5703125" customWidth="1"/>
  </cols>
  <sheetData>
    <row r="1" spans="1:5" ht="40.5" customHeight="1">
      <c r="A1" s="110" t="s">
        <v>76</v>
      </c>
      <c r="B1" s="111"/>
      <c r="C1" s="111"/>
      <c r="D1" s="111"/>
    </row>
    <row r="2" spans="1:5" ht="30.75">
      <c r="A2" s="1" t="s">
        <v>2</v>
      </c>
      <c r="B2" s="23" t="s">
        <v>3</v>
      </c>
      <c r="C2" s="25" t="s">
        <v>77</v>
      </c>
      <c r="D2" s="24" t="s">
        <v>78</v>
      </c>
    </row>
    <row r="3" spans="1:5" ht="51" customHeight="1">
      <c r="A3" s="2" t="s">
        <v>15</v>
      </c>
      <c r="B3" s="16">
        <v>2021</v>
      </c>
      <c r="C3" s="106">
        <v>77.2</v>
      </c>
      <c r="D3" s="9" t="s">
        <v>79</v>
      </c>
    </row>
    <row r="4" spans="1:5" ht="106.5" customHeight="1">
      <c r="A4" s="2" t="s">
        <v>18</v>
      </c>
      <c r="B4" s="16">
        <v>2023</v>
      </c>
      <c r="C4" s="106">
        <v>80</v>
      </c>
      <c r="D4" s="9" t="s">
        <v>80</v>
      </c>
      <c r="E4" s="29"/>
    </row>
    <row r="5" spans="1:5" ht="14.25">
      <c r="A5" s="2" t="s">
        <v>21</v>
      </c>
      <c r="B5" s="16">
        <v>2023</v>
      </c>
      <c r="C5" s="106">
        <v>65</v>
      </c>
      <c r="D5" s="3" t="s">
        <v>81</v>
      </c>
    </row>
    <row r="6" spans="1:5" ht="14.25">
      <c r="A6" s="6" t="s">
        <v>23</v>
      </c>
      <c r="B6" s="22">
        <v>2023</v>
      </c>
      <c r="C6" s="106">
        <v>28</v>
      </c>
      <c r="D6" s="3" t="s">
        <v>81</v>
      </c>
    </row>
    <row r="7" spans="1:5" ht="14.25">
      <c r="A7" s="2" t="s">
        <v>25</v>
      </c>
      <c r="B7" s="22">
        <v>2024</v>
      </c>
      <c r="C7" s="106">
        <v>21</v>
      </c>
      <c r="D7" s="3" t="s">
        <v>81</v>
      </c>
    </row>
    <row r="8" spans="1:5" ht="14.25">
      <c r="A8" s="2" t="s">
        <v>27</v>
      </c>
      <c r="B8" s="22">
        <v>2023</v>
      </c>
      <c r="C8" s="106">
        <v>59</v>
      </c>
      <c r="D8" s="3" t="s">
        <v>81</v>
      </c>
    </row>
    <row r="9" spans="1:5" ht="14.25">
      <c r="A9" s="2" t="s">
        <v>29</v>
      </c>
      <c r="B9" s="22">
        <v>2023</v>
      </c>
      <c r="C9" s="106">
        <v>28</v>
      </c>
      <c r="D9" s="3" t="s">
        <v>81</v>
      </c>
    </row>
    <row r="10" spans="1:5" ht="14.25">
      <c r="A10" s="2" t="s">
        <v>31</v>
      </c>
      <c r="B10" s="22">
        <v>2023</v>
      </c>
      <c r="C10" s="106">
        <v>42</v>
      </c>
      <c r="D10" s="3" t="s">
        <v>81</v>
      </c>
    </row>
    <row r="11" spans="1:5" ht="14.25">
      <c r="A11" s="2" t="s">
        <v>33</v>
      </c>
      <c r="B11" s="22">
        <v>2023</v>
      </c>
      <c r="C11" s="106">
        <v>35</v>
      </c>
      <c r="D11" s="3" t="s">
        <v>81</v>
      </c>
    </row>
    <row r="12" spans="1:5" ht="14.25">
      <c r="A12" s="2" t="s">
        <v>34</v>
      </c>
      <c r="B12" s="16">
        <v>2024</v>
      </c>
      <c r="C12" s="106">
        <v>31</v>
      </c>
      <c r="D12" s="3" t="s">
        <v>81</v>
      </c>
    </row>
    <row r="13" spans="1:5" ht="14.25">
      <c r="A13" s="2" t="s">
        <v>35</v>
      </c>
      <c r="B13" s="22">
        <v>2023</v>
      </c>
      <c r="C13" s="106">
        <v>27</v>
      </c>
      <c r="D13" s="3" t="s">
        <v>81</v>
      </c>
    </row>
    <row r="14" spans="1:5" ht="14.25">
      <c r="A14" s="2" t="s">
        <v>37</v>
      </c>
      <c r="B14" s="22">
        <v>2023</v>
      </c>
      <c r="C14" s="106">
        <v>28</v>
      </c>
      <c r="D14" s="3" t="s">
        <v>81</v>
      </c>
    </row>
    <row r="15" spans="1:5" ht="14.25">
      <c r="A15" s="2" t="s">
        <v>39</v>
      </c>
      <c r="B15" s="22">
        <v>2023</v>
      </c>
      <c r="C15" s="106">
        <v>20</v>
      </c>
      <c r="D15" s="3" t="s">
        <v>81</v>
      </c>
    </row>
    <row r="16" spans="1:5" ht="14.25">
      <c r="A16" s="2" t="s">
        <v>40</v>
      </c>
      <c r="B16" s="22">
        <v>2023</v>
      </c>
      <c r="C16" s="106">
        <v>12</v>
      </c>
      <c r="D16" s="3" t="s">
        <v>81</v>
      </c>
    </row>
    <row r="17" spans="1:4" ht="14.25">
      <c r="A17" s="14" t="s">
        <v>41</v>
      </c>
      <c r="B17" s="22">
        <v>2023</v>
      </c>
      <c r="C17" s="106">
        <v>62</v>
      </c>
      <c r="D17" s="3" t="s">
        <v>81</v>
      </c>
    </row>
    <row r="18" spans="1:4" ht="14.25">
      <c r="A18" s="6" t="s">
        <v>44</v>
      </c>
      <c r="B18" s="22">
        <v>2023</v>
      </c>
      <c r="C18" s="106">
        <v>77</v>
      </c>
      <c r="D18" s="3" t="s">
        <v>81</v>
      </c>
    </row>
    <row r="19" spans="1:4" ht="14.25">
      <c r="A19" s="18" t="s">
        <v>46</v>
      </c>
      <c r="B19" s="16">
        <v>2021</v>
      </c>
      <c r="C19" s="106">
        <v>45</v>
      </c>
      <c r="D19" s="3" t="s">
        <v>81</v>
      </c>
    </row>
    <row r="20" spans="1:4" ht="14.25">
      <c r="A20" s="2" t="s">
        <v>48</v>
      </c>
      <c r="B20" s="22">
        <v>2023</v>
      </c>
      <c r="C20" s="106">
        <v>64</v>
      </c>
      <c r="D20" s="3" t="s">
        <v>81</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74387-62B8-4FEB-BEA3-67C1B14DB1F0}">
  <dimension ref="A1:O18"/>
  <sheetViews>
    <sheetView topLeftCell="O1" workbookViewId="0">
      <selection activeCell="D9" sqref="D9"/>
    </sheetView>
  </sheetViews>
  <sheetFormatPr defaultRowHeight="15"/>
  <cols>
    <col min="1" max="1" width="4" customWidth="1"/>
    <col min="2" max="2" width="16.5703125" customWidth="1"/>
    <col min="3" max="3" width="13.7109375" customWidth="1"/>
    <col min="4" max="4" width="2.7109375" customWidth="1"/>
    <col min="5" max="5" width="17.85546875" customWidth="1"/>
    <col min="6" max="6" width="16.28515625" customWidth="1"/>
    <col min="7" max="7" width="2.85546875" customWidth="1"/>
    <col min="8" max="8" width="12" customWidth="1"/>
    <col min="9" max="9" width="18.85546875" customWidth="1"/>
    <col min="10" max="10" width="3.5703125" customWidth="1"/>
    <col min="11" max="11" width="13.140625" customWidth="1"/>
    <col min="12" max="12" width="17.5703125" customWidth="1"/>
    <col min="13" max="13" width="2.42578125" customWidth="1"/>
    <col min="14" max="14" width="15.5703125" customWidth="1"/>
    <col min="15" max="15" width="13.7109375" customWidth="1"/>
  </cols>
  <sheetData>
    <row r="1" spans="1:15" ht="51" customHeight="1">
      <c r="A1" s="116" t="s">
        <v>82</v>
      </c>
      <c r="B1" s="116"/>
      <c r="C1" s="116"/>
      <c r="D1" s="116"/>
      <c r="E1" s="116"/>
      <c r="F1" s="116"/>
      <c r="G1" s="116"/>
      <c r="H1" s="116"/>
      <c r="I1" s="116"/>
      <c r="J1" s="116"/>
      <c r="K1" s="116"/>
      <c r="L1" s="116"/>
      <c r="M1" s="116"/>
      <c r="N1" s="116"/>
      <c r="O1" s="116"/>
    </row>
    <row r="3" spans="1:15">
      <c r="B3" s="114" t="s">
        <v>83</v>
      </c>
      <c r="C3" s="115"/>
      <c r="E3" s="65" t="s">
        <v>40</v>
      </c>
      <c r="F3" s="65" t="s">
        <v>84</v>
      </c>
      <c r="H3" s="65" t="s">
        <v>70</v>
      </c>
      <c r="I3" s="65" t="s">
        <v>84</v>
      </c>
      <c r="K3" s="104" t="s">
        <v>27</v>
      </c>
      <c r="L3" s="65" t="s">
        <v>85</v>
      </c>
      <c r="M3" s="45"/>
      <c r="N3" s="103" t="s">
        <v>34</v>
      </c>
      <c r="O3" s="65" t="s">
        <v>86</v>
      </c>
    </row>
    <row r="4" spans="1:15">
      <c r="B4" s="79" t="s">
        <v>87</v>
      </c>
      <c r="C4" s="79"/>
      <c r="E4" s="83" t="s">
        <v>88</v>
      </c>
      <c r="F4" s="83">
        <v>26840103.329999998</v>
      </c>
      <c r="H4" s="79" t="s">
        <v>89</v>
      </c>
      <c r="I4" s="80">
        <v>406921280</v>
      </c>
      <c r="K4" s="91" t="s">
        <v>90</v>
      </c>
      <c r="L4" s="94">
        <v>151011920.57142857</v>
      </c>
      <c r="N4" s="84" t="s">
        <v>88</v>
      </c>
      <c r="O4" s="105">
        <v>21.7</v>
      </c>
    </row>
    <row r="5" spans="1:15">
      <c r="B5" s="112" t="s">
        <v>91</v>
      </c>
      <c r="C5" s="112"/>
      <c r="E5" s="79" t="s">
        <v>92</v>
      </c>
      <c r="F5" s="79">
        <v>360593845.86000001</v>
      </c>
      <c r="H5" s="79" t="s">
        <v>93</v>
      </c>
      <c r="I5" s="80">
        <v>51937260</v>
      </c>
      <c r="K5" s="87" t="s">
        <v>94</v>
      </c>
      <c r="L5" s="89">
        <v>133135314.85714285</v>
      </c>
      <c r="N5" s="87" t="s">
        <v>92</v>
      </c>
      <c r="O5" s="79">
        <f>O7-O6-O4</f>
        <v>182.8</v>
      </c>
    </row>
    <row r="6" spans="1:15" ht="16.5">
      <c r="B6" s="113" t="s">
        <v>95</v>
      </c>
      <c r="C6" s="113"/>
      <c r="E6" s="93" t="s">
        <v>96</v>
      </c>
      <c r="F6" s="94">
        <v>84322620</v>
      </c>
      <c r="H6" s="79" t="s">
        <v>97</v>
      </c>
      <c r="I6" s="79">
        <f>(37087.46+28396.67)*1000</f>
        <v>65484130</v>
      </c>
      <c r="K6" s="16" t="s">
        <v>98</v>
      </c>
      <c r="L6" s="33">
        <v>284147235.42857146</v>
      </c>
      <c r="N6" s="91" t="s">
        <v>96</v>
      </c>
      <c r="O6" s="92">
        <v>200</v>
      </c>
    </row>
    <row r="7" spans="1:15">
      <c r="B7" s="3" t="s">
        <v>99</v>
      </c>
      <c r="C7" s="3"/>
      <c r="E7" s="3" t="s">
        <v>98</v>
      </c>
      <c r="F7" s="3">
        <f>SUM(F4:F6)</f>
        <v>471756569.19</v>
      </c>
      <c r="H7" s="79" t="s">
        <v>100</v>
      </c>
      <c r="I7" s="80">
        <f>I9-SUM(I4:I6, I8)</f>
        <v>28177560</v>
      </c>
      <c r="N7" s="16" t="s">
        <v>98</v>
      </c>
      <c r="O7" s="3">
        <v>404.5</v>
      </c>
    </row>
    <row r="8" spans="1:15">
      <c r="H8" s="81" t="s">
        <v>88</v>
      </c>
      <c r="I8" s="82">
        <v>4790500</v>
      </c>
    </row>
    <row r="9" spans="1:15">
      <c r="H9" s="3" t="s">
        <v>98</v>
      </c>
      <c r="I9" s="31">
        <v>557310730</v>
      </c>
    </row>
    <row r="12" spans="1:15">
      <c r="B12" s="65" t="s">
        <v>25</v>
      </c>
      <c r="C12" s="65" t="s">
        <v>84</v>
      </c>
      <c r="E12" s="65" t="s">
        <v>29</v>
      </c>
      <c r="F12" s="65" t="s">
        <v>84</v>
      </c>
      <c r="H12" s="75" t="s">
        <v>33</v>
      </c>
      <c r="I12" s="75" t="s">
        <v>101</v>
      </c>
      <c r="K12" s="65" t="s">
        <v>18</v>
      </c>
      <c r="L12" s="65" t="s">
        <v>102</v>
      </c>
    </row>
    <row r="13" spans="1:15">
      <c r="B13" s="83" t="s">
        <v>88</v>
      </c>
      <c r="C13" s="85">
        <v>7511966</v>
      </c>
      <c r="E13" s="79" t="s">
        <v>103</v>
      </c>
      <c r="F13" s="89" t="s">
        <v>104</v>
      </c>
      <c r="H13" s="93" t="s">
        <v>96</v>
      </c>
      <c r="I13" s="97">
        <v>74935311.680000007</v>
      </c>
      <c r="K13" s="79" t="s">
        <v>93</v>
      </c>
      <c r="L13" s="80">
        <v>1246</v>
      </c>
    </row>
    <row r="14" spans="1:15">
      <c r="B14" s="79" t="s">
        <v>92</v>
      </c>
      <c r="C14" s="88">
        <v>243356243</v>
      </c>
      <c r="E14" s="93" t="s">
        <v>105</v>
      </c>
      <c r="F14" s="93">
        <f>32847136193+23453652089</f>
        <v>56300788282</v>
      </c>
      <c r="H14" s="79" t="s">
        <v>93</v>
      </c>
      <c r="I14" s="90">
        <v>47543230</v>
      </c>
      <c r="K14" s="79" t="s">
        <v>106</v>
      </c>
      <c r="L14" s="80">
        <v>94225.4</v>
      </c>
    </row>
    <row r="15" spans="1:15">
      <c r="B15" s="93" t="s">
        <v>107</v>
      </c>
      <c r="C15" s="96">
        <v>42146735</v>
      </c>
      <c r="E15" s="79" t="s">
        <v>108</v>
      </c>
      <c r="F15" s="79" t="s">
        <v>104</v>
      </c>
      <c r="H15" s="79" t="s">
        <v>106</v>
      </c>
      <c r="I15" s="90">
        <v>47462478</v>
      </c>
      <c r="K15" s="83" t="s">
        <v>88</v>
      </c>
      <c r="L15" s="83">
        <v>83</v>
      </c>
    </row>
    <row r="16" spans="1:15">
      <c r="B16" s="3" t="s">
        <v>98</v>
      </c>
      <c r="C16" s="8">
        <v>293014944</v>
      </c>
      <c r="E16" s="3" t="s">
        <v>98</v>
      </c>
      <c r="F16" s="9">
        <v>193938343000</v>
      </c>
      <c r="H16" s="83" t="s">
        <v>103</v>
      </c>
      <c r="I16" s="86">
        <v>5789797</v>
      </c>
      <c r="K16" s="93" t="s">
        <v>109</v>
      </c>
      <c r="L16" s="95">
        <v>14413.7</v>
      </c>
    </row>
    <row r="17" spans="8:12">
      <c r="H17" s="3" t="s">
        <v>110</v>
      </c>
      <c r="I17" s="4">
        <f>I13+I14+I15+I16</f>
        <v>175730816.68000001</v>
      </c>
      <c r="K17" s="79" t="s">
        <v>100</v>
      </c>
      <c r="L17" s="80">
        <v>10446.6</v>
      </c>
    </row>
    <row r="18" spans="8:12">
      <c r="I18" s="34"/>
      <c r="K18" s="3" t="s">
        <v>98</v>
      </c>
      <c r="L18" s="4">
        <v>120414.6</v>
      </c>
    </row>
  </sheetData>
  <mergeCells count="4">
    <mergeCell ref="B5:C5"/>
    <mergeCell ref="B6:C6"/>
    <mergeCell ref="B3:C3"/>
    <mergeCell ref="A1:O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52AD-AE14-4450-805A-555A832DB3A6}">
  <dimension ref="A1:Q92"/>
  <sheetViews>
    <sheetView workbookViewId="0">
      <selection activeCell="M11" sqref="M11"/>
    </sheetView>
  </sheetViews>
  <sheetFormatPr defaultRowHeight="15"/>
  <cols>
    <col min="2" max="2" width="16.28515625" customWidth="1"/>
    <col min="3" max="3" width="13.7109375" customWidth="1"/>
    <col min="4" max="4" width="14.140625" customWidth="1"/>
    <col min="5" max="5" width="15.85546875" customWidth="1"/>
    <col min="7" max="7" width="6.28515625" customWidth="1"/>
    <col min="8" max="8" width="12.7109375" customWidth="1"/>
    <col min="9" max="9" width="14" customWidth="1"/>
    <col min="10" max="10" width="15.140625" customWidth="1"/>
    <col min="11" max="11" width="13.7109375" customWidth="1"/>
  </cols>
  <sheetData>
    <row r="1" spans="1:17">
      <c r="A1" s="118" t="s">
        <v>111</v>
      </c>
      <c r="B1" s="118"/>
      <c r="C1" s="118"/>
      <c r="D1" s="118"/>
      <c r="E1" s="118"/>
      <c r="G1" s="119" t="s">
        <v>112</v>
      </c>
      <c r="H1" s="119"/>
      <c r="I1" s="119"/>
      <c r="J1" s="119"/>
      <c r="K1" s="119"/>
      <c r="M1" s="102" t="s">
        <v>113</v>
      </c>
    </row>
    <row r="2" spans="1:17">
      <c r="A2" s="55" t="s">
        <v>52</v>
      </c>
      <c r="B2" s="55" t="s">
        <v>114</v>
      </c>
      <c r="C2" s="55" t="s">
        <v>107</v>
      </c>
      <c r="D2" s="55" t="s">
        <v>103</v>
      </c>
      <c r="E2" s="55" t="s">
        <v>98</v>
      </c>
      <c r="G2" s="30" t="s">
        <v>115</v>
      </c>
      <c r="H2" s="30" t="s">
        <v>116</v>
      </c>
      <c r="I2" s="30" t="s">
        <v>117</v>
      </c>
      <c r="J2" s="30" t="s">
        <v>118</v>
      </c>
      <c r="K2" s="30" t="s">
        <v>119</v>
      </c>
      <c r="M2" s="46" t="s">
        <v>54</v>
      </c>
      <c r="N2" s="46" t="s">
        <v>55</v>
      </c>
      <c r="O2" s="46" t="s">
        <v>56</v>
      </c>
      <c r="P2" s="46" t="s">
        <v>57</v>
      </c>
      <c r="Q2" s="46" t="s">
        <v>58</v>
      </c>
    </row>
    <row r="3" spans="1:17">
      <c r="A3" s="41" t="s">
        <v>120</v>
      </c>
      <c r="B3" s="56">
        <v>152295581</v>
      </c>
      <c r="C3" s="56">
        <v>26566576</v>
      </c>
      <c r="D3" s="56">
        <v>2622619</v>
      </c>
      <c r="E3" s="57">
        <f t="shared" ref="E3:E7" si="0">B3+C3+D3</f>
        <v>181484776</v>
      </c>
      <c r="G3" s="41" t="s">
        <v>121</v>
      </c>
      <c r="H3" s="41">
        <v>285771.5</v>
      </c>
      <c r="I3" s="41">
        <v>289261.95</v>
      </c>
      <c r="J3" s="41">
        <v>222973.59</v>
      </c>
      <c r="K3" s="41">
        <v>332320.67</v>
      </c>
      <c r="M3" s="47">
        <v>1.0240777999999999</v>
      </c>
      <c r="N3" s="47">
        <v>1.02244084</v>
      </c>
      <c r="O3" s="47">
        <v>1.07333875</v>
      </c>
      <c r="P3" s="47">
        <v>1.1002459</v>
      </c>
      <c r="Q3" s="47">
        <v>1.0339369700000001</v>
      </c>
    </row>
    <row r="4" spans="1:17">
      <c r="A4" s="3" t="s">
        <v>122</v>
      </c>
      <c r="B4" s="53">
        <v>158125494</v>
      </c>
      <c r="C4" s="53">
        <v>30239815</v>
      </c>
      <c r="D4" s="53">
        <v>3817270</v>
      </c>
      <c r="E4" s="54">
        <f t="shared" si="0"/>
        <v>192182579</v>
      </c>
      <c r="G4" s="3" t="s">
        <v>123</v>
      </c>
      <c r="H4" s="3">
        <v>869926.62</v>
      </c>
      <c r="I4" s="3">
        <v>796621.3</v>
      </c>
      <c r="J4" s="3">
        <v>900284.67</v>
      </c>
      <c r="K4" s="3">
        <v>975474.92</v>
      </c>
    </row>
    <row r="5" spans="1:17">
      <c r="A5" s="3" t="s">
        <v>124</v>
      </c>
      <c r="B5" s="53">
        <v>171532296</v>
      </c>
      <c r="C5" s="53">
        <v>29443230</v>
      </c>
      <c r="D5" s="53">
        <v>4976000</v>
      </c>
      <c r="E5" s="54">
        <f t="shared" si="0"/>
        <v>205951526</v>
      </c>
      <c r="G5" s="3" t="s">
        <v>125</v>
      </c>
      <c r="H5" s="3">
        <v>1653447.06</v>
      </c>
      <c r="I5" s="3">
        <v>1813791.29</v>
      </c>
      <c r="J5" s="3">
        <v>1917053.4</v>
      </c>
      <c r="K5" s="3">
        <v>1438564.18</v>
      </c>
      <c r="M5" s="102" t="s">
        <v>126</v>
      </c>
    </row>
    <row r="6" spans="1:17">
      <c r="A6" s="3" t="s">
        <v>127</v>
      </c>
      <c r="B6" s="53">
        <v>211968849</v>
      </c>
      <c r="C6" s="53">
        <v>34580612</v>
      </c>
      <c r="D6" s="53">
        <v>6372104</v>
      </c>
      <c r="E6" s="54">
        <f t="shared" si="0"/>
        <v>252921565</v>
      </c>
      <c r="G6" s="3" t="s">
        <v>128</v>
      </c>
      <c r="H6" s="3">
        <v>505115.86</v>
      </c>
      <c r="I6" s="3">
        <v>494150.63</v>
      </c>
      <c r="J6" s="3">
        <v>591809.9</v>
      </c>
      <c r="K6" s="3">
        <v>302209.99</v>
      </c>
    </row>
    <row r="7" spans="1:17">
      <c r="A7" s="3" t="s">
        <v>129</v>
      </c>
      <c r="B7" s="53">
        <v>243356243</v>
      </c>
      <c r="C7" s="53">
        <v>42146735</v>
      </c>
      <c r="D7" s="53">
        <v>7511966</v>
      </c>
      <c r="E7" s="54">
        <f t="shared" si="0"/>
        <v>293014944</v>
      </c>
      <c r="G7" s="3" t="s">
        <v>130</v>
      </c>
      <c r="H7" s="3">
        <v>1186171.81</v>
      </c>
      <c r="I7" s="3">
        <v>1231535.5900000001</v>
      </c>
      <c r="J7" s="3">
        <v>1256165.02</v>
      </c>
      <c r="K7" s="3">
        <v>1105795.56</v>
      </c>
    </row>
    <row r="8" spans="1:17">
      <c r="A8" s="3" t="s">
        <v>131</v>
      </c>
      <c r="B8" s="53">
        <v>265365332</v>
      </c>
      <c r="C8" s="53">
        <v>42980418</v>
      </c>
      <c r="D8" s="53">
        <v>8437053</v>
      </c>
      <c r="E8" s="54">
        <f>B8+C8+D8</f>
        <v>316782803</v>
      </c>
      <c r="G8" s="3" t="s">
        <v>132</v>
      </c>
      <c r="H8" s="3">
        <v>431376.12</v>
      </c>
      <c r="I8" s="3">
        <v>436087.42</v>
      </c>
      <c r="J8" s="3">
        <v>412797.93</v>
      </c>
      <c r="K8" s="3">
        <v>278222.58</v>
      </c>
    </row>
    <row r="9" spans="1:17">
      <c r="G9" s="3" t="s">
        <v>133</v>
      </c>
      <c r="H9" s="3">
        <v>374701.76</v>
      </c>
      <c r="I9" s="3">
        <v>557086.76</v>
      </c>
      <c r="J9" s="3">
        <v>664260.06999999995</v>
      </c>
      <c r="K9" s="3">
        <v>473727.19</v>
      </c>
    </row>
    <row r="10" spans="1:17">
      <c r="A10" s="102" t="s">
        <v>134</v>
      </c>
      <c r="G10" s="3" t="s">
        <v>135</v>
      </c>
      <c r="H10" s="3">
        <v>335081.64</v>
      </c>
      <c r="I10" s="3">
        <v>347074.76</v>
      </c>
      <c r="J10" s="3">
        <v>425006.18</v>
      </c>
      <c r="K10" s="3">
        <v>378808.19</v>
      </c>
    </row>
    <row r="11" spans="1:17">
      <c r="A11" s="46" t="s">
        <v>55</v>
      </c>
      <c r="B11" s="46" t="s">
        <v>56</v>
      </c>
      <c r="C11" s="46" t="s">
        <v>57</v>
      </c>
      <c r="D11" s="59" t="s">
        <v>58</v>
      </c>
      <c r="E11" s="100" t="s">
        <v>58</v>
      </c>
      <c r="G11" s="3" t="s">
        <v>136</v>
      </c>
      <c r="H11" s="3">
        <v>134292.42000000001</v>
      </c>
      <c r="I11" s="3">
        <v>175104.85</v>
      </c>
      <c r="J11" s="3">
        <v>194422.28</v>
      </c>
      <c r="K11" s="3">
        <v>176641.82</v>
      </c>
    </row>
    <row r="12" spans="1:17">
      <c r="A12" s="3">
        <v>1.04291493</v>
      </c>
      <c r="B12" s="3">
        <v>1.1684480900000001</v>
      </c>
      <c r="C12" s="3">
        <v>1.08635283</v>
      </c>
      <c r="D12" s="16">
        <v>1.03989844</v>
      </c>
      <c r="E12" s="101">
        <v>1.04852053</v>
      </c>
      <c r="G12" s="3" t="s">
        <v>137</v>
      </c>
      <c r="H12" s="3">
        <v>1425245.79</v>
      </c>
      <c r="I12" s="3">
        <v>1646098.61</v>
      </c>
      <c r="J12" s="3">
        <v>1757787.67</v>
      </c>
      <c r="K12" s="3">
        <v>1710396.65</v>
      </c>
    </row>
    <row r="13" spans="1:17">
      <c r="A13" s="3">
        <v>1.04291493</v>
      </c>
      <c r="B13" s="3">
        <v>1.1684480900000001</v>
      </c>
      <c r="C13" s="3">
        <v>1.08635283</v>
      </c>
      <c r="D13" s="16">
        <v>1.03989844</v>
      </c>
      <c r="E13" s="101">
        <v>1.04852053</v>
      </c>
      <c r="G13" s="3" t="s">
        <v>138</v>
      </c>
      <c r="H13" s="3">
        <v>1539574.68</v>
      </c>
      <c r="I13" s="3">
        <v>1950231.84</v>
      </c>
      <c r="J13" s="3">
        <v>2047187.16</v>
      </c>
      <c r="K13" s="3">
        <v>1582947.82</v>
      </c>
    </row>
    <row r="14" spans="1:17">
      <c r="A14" s="3">
        <v>1.04291493</v>
      </c>
      <c r="B14" s="3">
        <v>1.1684480900000001</v>
      </c>
      <c r="C14" s="3">
        <v>1.08635283</v>
      </c>
      <c r="D14" s="16">
        <v>1.03989844</v>
      </c>
      <c r="E14" s="101">
        <v>1.04852053</v>
      </c>
      <c r="G14" s="3" t="s">
        <v>139</v>
      </c>
      <c r="H14" s="3">
        <v>397536.56</v>
      </c>
      <c r="I14" s="3">
        <v>564060.34</v>
      </c>
      <c r="J14" s="3">
        <v>517130.69</v>
      </c>
      <c r="K14" s="3">
        <v>485844.14</v>
      </c>
    </row>
    <row r="15" spans="1:17">
      <c r="A15" s="3">
        <v>1.04291493</v>
      </c>
      <c r="B15" s="3">
        <v>1.1684480900000001</v>
      </c>
      <c r="C15" s="3">
        <v>1.08635283</v>
      </c>
      <c r="D15" s="16">
        <v>1.03989844</v>
      </c>
      <c r="E15" s="101">
        <v>1.04852053</v>
      </c>
      <c r="G15" s="3" t="s">
        <v>140</v>
      </c>
      <c r="H15" s="3">
        <v>362049.99</v>
      </c>
      <c r="I15" s="3">
        <v>431055.01</v>
      </c>
      <c r="J15" s="3">
        <v>493117.43</v>
      </c>
      <c r="K15" s="3">
        <v>451681.77</v>
      </c>
    </row>
    <row r="16" spans="1:17">
      <c r="A16" s="3">
        <v>1.04291493</v>
      </c>
      <c r="B16" s="3">
        <v>1.1684480900000001</v>
      </c>
      <c r="C16" s="3">
        <v>1.08635283</v>
      </c>
      <c r="D16" s="16">
        <v>1.03989844</v>
      </c>
      <c r="E16" s="101">
        <v>1.04852053</v>
      </c>
      <c r="G16" s="3" t="s">
        <v>141</v>
      </c>
      <c r="H16" s="3">
        <v>1509823.32</v>
      </c>
      <c r="I16" s="3">
        <v>1612116.97</v>
      </c>
      <c r="J16" s="3">
        <v>1535046.98</v>
      </c>
      <c r="K16" s="3">
        <v>1430618.2</v>
      </c>
    </row>
    <row r="17" spans="1:11">
      <c r="A17" s="3">
        <v>1.04291493</v>
      </c>
      <c r="B17" s="3">
        <v>1.1684480900000001</v>
      </c>
      <c r="C17" s="3">
        <v>1.08635283</v>
      </c>
      <c r="D17" s="16">
        <v>1.03989844</v>
      </c>
      <c r="E17" s="101">
        <v>1.04852053</v>
      </c>
      <c r="G17" s="3" t="s">
        <v>142</v>
      </c>
      <c r="H17" s="3">
        <v>102254.17</v>
      </c>
      <c r="I17" s="3">
        <v>175658.85</v>
      </c>
      <c r="J17" s="3">
        <v>191357.29</v>
      </c>
      <c r="K17" s="3">
        <v>128206.04</v>
      </c>
    </row>
    <row r="18" spans="1:11">
      <c r="A18" s="3">
        <v>1.04291493</v>
      </c>
      <c r="B18" s="3">
        <v>1.1684480900000001</v>
      </c>
      <c r="C18" s="3">
        <v>1.08635283</v>
      </c>
      <c r="D18" s="16">
        <v>1.03989844</v>
      </c>
      <c r="E18" s="101">
        <v>1.04852053</v>
      </c>
      <c r="G18" s="3" t="s">
        <v>143</v>
      </c>
      <c r="H18" s="3">
        <v>2986516.29</v>
      </c>
      <c r="I18" s="3">
        <v>2784911.93</v>
      </c>
      <c r="J18" s="3">
        <v>3264818.25</v>
      </c>
      <c r="K18" s="3">
        <v>2030007.62</v>
      </c>
    </row>
    <row r="19" spans="1:11">
      <c r="G19" s="3" t="s">
        <v>144</v>
      </c>
      <c r="H19" s="3">
        <v>7864503.4500000002</v>
      </c>
      <c r="I19" s="3">
        <v>8935656.0099999998</v>
      </c>
      <c r="J19" s="3">
        <v>8950174</v>
      </c>
      <c r="K19" s="3">
        <v>5743955.2800000003</v>
      </c>
    </row>
    <row r="20" spans="1:11">
      <c r="A20" s="102" t="s">
        <v>145</v>
      </c>
      <c r="G20" s="3" t="s">
        <v>146</v>
      </c>
      <c r="H20" s="3">
        <v>2643385.3199999998</v>
      </c>
      <c r="I20" s="3">
        <v>3006810.59</v>
      </c>
      <c r="J20" s="3">
        <v>3179975.83</v>
      </c>
      <c r="K20" s="3">
        <v>2956113.48</v>
      </c>
    </row>
    <row r="21" spans="1:11">
      <c r="A21" s="55" t="s">
        <v>52</v>
      </c>
      <c r="B21" s="55" t="s">
        <v>114</v>
      </c>
      <c r="C21" s="55" t="s">
        <v>107</v>
      </c>
      <c r="D21" s="55" t="s">
        <v>103</v>
      </c>
      <c r="E21" s="55" t="s">
        <v>98</v>
      </c>
      <c r="G21" s="3" t="s">
        <v>147</v>
      </c>
      <c r="H21" s="3">
        <v>22319802.27</v>
      </c>
      <c r="I21" s="3">
        <v>26036910.07</v>
      </c>
      <c r="J21" s="3">
        <v>27790646.260000002</v>
      </c>
      <c r="K21" s="3">
        <v>22135895.460000001</v>
      </c>
    </row>
    <row r="22" spans="1:11">
      <c r="A22" s="41" t="s">
        <v>120</v>
      </c>
      <c r="B22" s="56">
        <f>B3*A12*B12*C12*D12</f>
        <v>209656067.98281333</v>
      </c>
      <c r="C22" s="56">
        <f>C3*A12*B12*C12*D12</f>
        <v>36572590.139214724</v>
      </c>
      <c r="D22" s="56">
        <f>D3*A12*B12*C12*D12</f>
        <v>3610400.1425820617</v>
      </c>
      <c r="E22" s="56">
        <f>B22+C22+D22</f>
        <v>249839058.26461011</v>
      </c>
      <c r="G22" s="3" t="s">
        <v>148</v>
      </c>
      <c r="H22" s="3">
        <v>5249539.9000000004</v>
      </c>
      <c r="I22" s="3">
        <v>5985846.4400000004</v>
      </c>
      <c r="J22" s="3">
        <v>6002308.6600000001</v>
      </c>
      <c r="K22" s="3">
        <v>4645262.59</v>
      </c>
    </row>
    <row r="23" spans="1:11">
      <c r="A23" s="3" t="s">
        <v>122</v>
      </c>
      <c r="B23" s="53">
        <f>B4*B13*C13*D13</f>
        <v>208724363.35417259</v>
      </c>
      <c r="C23" s="53">
        <f>C4*B13*C13*D13</f>
        <v>39916309.344924219</v>
      </c>
      <c r="D23" s="53">
        <f>D4*B13*C13*D13</f>
        <v>5038765.2891758392</v>
      </c>
      <c r="E23" s="56">
        <f t="shared" ref="E23:E27" si="1">B23+C23+D23</f>
        <v>253679437.98827264</v>
      </c>
      <c r="G23" s="3" t="s">
        <v>149</v>
      </c>
      <c r="H23" s="3">
        <v>22773259.640000001</v>
      </c>
      <c r="I23" s="3">
        <v>26093431.899999999</v>
      </c>
      <c r="J23" s="3">
        <v>27115365.210000001</v>
      </c>
      <c r="K23" s="3">
        <v>22232747.079999998</v>
      </c>
    </row>
    <row r="24" spans="1:11">
      <c r="A24" s="3" t="s">
        <v>124</v>
      </c>
      <c r="B24" s="53">
        <f>B5*C14*D14</f>
        <v>193779453.84674948</v>
      </c>
      <c r="C24" s="53">
        <f>C5*C14*D14</f>
        <v>33261917.212862525</v>
      </c>
      <c r="D24" s="98">
        <f>D5*C14*D14</f>
        <v>5621370.3473159689</v>
      </c>
      <c r="E24" s="56">
        <f t="shared" si="1"/>
        <v>232662741.40692797</v>
      </c>
      <c r="G24" s="3" t="s">
        <v>150</v>
      </c>
      <c r="H24" s="3">
        <v>1006920.39</v>
      </c>
      <c r="I24" s="3">
        <v>1181640.26</v>
      </c>
      <c r="J24" s="3">
        <v>1150880.99</v>
      </c>
      <c r="K24" s="3">
        <v>758200.88</v>
      </c>
    </row>
    <row r="25" spans="1:11">
      <c r="A25" s="3" t="s">
        <v>127</v>
      </c>
      <c r="B25" s="53">
        <f>B6*D15</f>
        <v>220426075.40369555</v>
      </c>
      <c r="C25" s="53">
        <f>C6*D15</f>
        <v>35960324.473045282</v>
      </c>
      <c r="D25" s="53">
        <f>D6*D15</f>
        <v>6626341.0091177598</v>
      </c>
      <c r="E25" s="56">
        <f t="shared" si="1"/>
        <v>263012740.8858586</v>
      </c>
      <c r="G25" s="3" t="s">
        <v>151</v>
      </c>
      <c r="H25" s="3">
        <v>4248452.92</v>
      </c>
      <c r="I25" s="3">
        <v>5026091.09</v>
      </c>
      <c r="J25" s="3">
        <v>5119550.4000000004</v>
      </c>
      <c r="K25" s="3">
        <v>4493476.9800000004</v>
      </c>
    </row>
    <row r="26" spans="1:11">
      <c r="A26" s="3" t="s">
        <v>129</v>
      </c>
      <c r="B26" s="53">
        <f>B7</f>
        <v>243356243</v>
      </c>
      <c r="C26" s="53">
        <v>42146735</v>
      </c>
      <c r="D26" s="53">
        <v>7511966</v>
      </c>
      <c r="E26" s="56">
        <f>B26+C26+D26</f>
        <v>293014944</v>
      </c>
      <c r="G26" s="3" t="s">
        <v>152</v>
      </c>
      <c r="H26" s="3">
        <v>822649.66</v>
      </c>
      <c r="I26" s="3">
        <v>893701.12</v>
      </c>
      <c r="J26" s="3">
        <v>941004.28</v>
      </c>
      <c r="K26" s="3">
        <v>497744.05</v>
      </c>
    </row>
    <row r="27" spans="1:11">
      <c r="A27" s="3" t="s">
        <v>131</v>
      </c>
      <c r="B27" s="53">
        <f>265365332/1.04852053</f>
        <v>253085489.89498565</v>
      </c>
      <c r="C27" s="53">
        <f>42980418/1.04852053</f>
        <v>40991489.217669398</v>
      </c>
      <c r="D27" s="99">
        <f>8437053/1.04852053</f>
        <v>8046626.4213252934</v>
      </c>
      <c r="E27" s="56">
        <f t="shared" si="1"/>
        <v>302123605.53398031</v>
      </c>
      <c r="G27" s="3" t="s">
        <v>153</v>
      </c>
      <c r="H27" s="3">
        <v>1197978.22</v>
      </c>
      <c r="I27" s="3">
        <v>1440713.27</v>
      </c>
      <c r="J27" s="3">
        <v>1452921.14</v>
      </c>
      <c r="K27" s="3">
        <v>1025660.09</v>
      </c>
    </row>
    <row r="28" spans="1:11">
      <c r="E28" s="98"/>
      <c r="G28" s="3" t="s">
        <v>154</v>
      </c>
      <c r="H28" s="3">
        <v>8647902.6699999999</v>
      </c>
      <c r="I28" s="3">
        <v>9516164.0199999996</v>
      </c>
      <c r="J28" s="3">
        <v>10182524.689999999</v>
      </c>
      <c r="K28" s="3">
        <v>7242755.3499999996</v>
      </c>
    </row>
    <row r="29" spans="1:11">
      <c r="G29" s="3" t="s">
        <v>155</v>
      </c>
      <c r="H29" s="3">
        <v>326125.83</v>
      </c>
      <c r="I29" s="3">
        <v>344685.15</v>
      </c>
      <c r="J29" s="3">
        <v>300820.84999999998</v>
      </c>
      <c r="K29" s="3">
        <v>234456.35</v>
      </c>
    </row>
    <row r="30" spans="1:11">
      <c r="G30" s="3" t="s">
        <v>156</v>
      </c>
      <c r="H30" s="3">
        <v>200264.57</v>
      </c>
      <c r="I30" s="3">
        <v>303296.17</v>
      </c>
      <c r="J30" s="3">
        <v>277831.42</v>
      </c>
      <c r="K30" s="3">
        <v>250446.33</v>
      </c>
    </row>
    <row r="31" spans="1:11">
      <c r="G31" s="3" t="s">
        <v>157</v>
      </c>
      <c r="H31" s="3">
        <v>273540.03000000003</v>
      </c>
      <c r="I31" s="3">
        <v>242997.24</v>
      </c>
      <c r="J31" s="3">
        <v>254085.39</v>
      </c>
      <c r="K31" s="3">
        <v>247917.23</v>
      </c>
    </row>
    <row r="32" spans="1:11">
      <c r="G32" s="3" t="s">
        <v>158</v>
      </c>
      <c r="H32" s="3">
        <v>2891309.08</v>
      </c>
      <c r="I32" s="3">
        <v>3162306.73</v>
      </c>
      <c r="J32" s="3">
        <v>3270725.4</v>
      </c>
      <c r="K32" s="3">
        <v>2200541.27</v>
      </c>
    </row>
    <row r="33" spans="7:11">
      <c r="G33" s="3" t="s">
        <v>159</v>
      </c>
      <c r="H33" s="3">
        <v>54445.97</v>
      </c>
      <c r="I33" s="3">
        <v>61140.32</v>
      </c>
      <c r="J33" s="3">
        <v>76102.600000000006</v>
      </c>
      <c r="K33" s="3">
        <v>33308.769999999997</v>
      </c>
    </row>
    <row r="34" spans="7:11">
      <c r="G34" s="3" t="s">
        <v>160</v>
      </c>
      <c r="H34" s="3">
        <v>26246438.960000001</v>
      </c>
      <c r="I34" s="3">
        <v>28241710.109999999</v>
      </c>
      <c r="J34" s="3">
        <v>31353505.5</v>
      </c>
      <c r="K34" s="3">
        <v>36713629.729999997</v>
      </c>
    </row>
    <row r="35" spans="7:11">
      <c r="G35" s="3" t="s">
        <v>161</v>
      </c>
      <c r="H35" s="3">
        <v>128401</v>
      </c>
      <c r="I35" s="3">
        <v>210300.71</v>
      </c>
      <c r="J35" s="3">
        <v>220815.59</v>
      </c>
      <c r="K35" s="3">
        <v>154557.45000000001</v>
      </c>
    </row>
    <row r="36" spans="7:11">
      <c r="G36" s="3" t="s">
        <v>162</v>
      </c>
      <c r="H36" s="3">
        <v>501321.62</v>
      </c>
      <c r="I36" s="3">
        <v>508563.8</v>
      </c>
      <c r="J36" s="3">
        <v>491331.58</v>
      </c>
      <c r="K36" s="3">
        <v>270461.86</v>
      </c>
    </row>
    <row r="37" spans="7:11">
      <c r="G37" s="3" t="s">
        <v>163</v>
      </c>
      <c r="H37" s="3">
        <v>99632.48</v>
      </c>
      <c r="I37" s="3">
        <v>58482.04</v>
      </c>
      <c r="J37" s="3">
        <v>39046.67</v>
      </c>
      <c r="K37" s="3">
        <v>43067.93</v>
      </c>
    </row>
    <row r="38" spans="7:11">
      <c r="G38" s="3" t="s">
        <v>164</v>
      </c>
      <c r="H38" s="3">
        <v>1043461.17</v>
      </c>
      <c r="I38" s="3">
        <v>918584.76</v>
      </c>
      <c r="J38" s="3">
        <v>983100.41</v>
      </c>
      <c r="K38" s="3">
        <v>694289.27</v>
      </c>
    </row>
    <row r="39" spans="7:11">
      <c r="G39" s="3" t="s">
        <v>165</v>
      </c>
      <c r="H39" s="3">
        <v>833117.3</v>
      </c>
      <c r="I39" s="3">
        <v>870734.59</v>
      </c>
      <c r="J39" s="3">
        <v>660818.93000000005</v>
      </c>
      <c r="K39" s="3">
        <v>287514.5</v>
      </c>
    </row>
    <row r="40" spans="7:11">
      <c r="G40" s="3" t="s">
        <v>166</v>
      </c>
      <c r="H40" s="3">
        <v>18658913.359999999</v>
      </c>
      <c r="I40" s="3">
        <v>23800881.800000001</v>
      </c>
      <c r="J40" s="3">
        <v>23057525.870000001</v>
      </c>
      <c r="K40" s="3">
        <v>38062140.289999999</v>
      </c>
    </row>
    <row r="41" spans="7:11">
      <c r="G41" s="3" t="s">
        <v>167</v>
      </c>
      <c r="H41" s="3">
        <v>6172037.5300000003</v>
      </c>
      <c r="I41" s="3">
        <v>7864410.5099999998</v>
      </c>
      <c r="J41" s="3">
        <v>8543784.9800000004</v>
      </c>
      <c r="K41" s="3">
        <v>7342772.75</v>
      </c>
    </row>
    <row r="42" spans="7:11">
      <c r="G42" s="3" t="s">
        <v>168</v>
      </c>
      <c r="H42" s="3">
        <v>347277.37</v>
      </c>
      <c r="I42" s="3">
        <v>396546.21</v>
      </c>
      <c r="J42" s="3">
        <v>296797.42</v>
      </c>
      <c r="K42" s="3">
        <v>265345.84000000003</v>
      </c>
    </row>
    <row r="43" spans="7:11">
      <c r="G43" s="3" t="s">
        <v>169</v>
      </c>
      <c r="H43" s="3">
        <v>44059.78</v>
      </c>
      <c r="I43" s="3">
        <v>53248.57</v>
      </c>
      <c r="J43" s="3">
        <v>48814.79</v>
      </c>
      <c r="K43" s="3">
        <v>64979.11</v>
      </c>
    </row>
    <row r="44" spans="7:11">
      <c r="G44" s="3" t="s">
        <v>170</v>
      </c>
      <c r="H44" s="3">
        <v>80985.990000000005</v>
      </c>
      <c r="I44" s="3">
        <v>42019.54</v>
      </c>
      <c r="J44" s="3">
        <v>56900.77</v>
      </c>
      <c r="K44" s="3">
        <v>64411.68</v>
      </c>
    </row>
    <row r="45" spans="7:11">
      <c r="G45" s="3" t="s">
        <v>171</v>
      </c>
      <c r="H45" s="3">
        <v>1265508.8600000001</v>
      </c>
      <c r="I45" s="3">
        <v>1341500.3999999999</v>
      </c>
      <c r="J45" s="3">
        <v>1826849.52</v>
      </c>
      <c r="K45" s="3">
        <v>614358.19999999995</v>
      </c>
    </row>
    <row r="46" spans="7:11">
      <c r="G46" s="3" t="s">
        <v>172</v>
      </c>
      <c r="H46" s="3">
        <v>2914606.02</v>
      </c>
      <c r="I46" s="3">
        <v>3583047.6800000002</v>
      </c>
      <c r="J46" s="3">
        <v>3426334.94</v>
      </c>
      <c r="K46" s="3">
        <v>2047798.94</v>
      </c>
    </row>
    <row r="47" spans="7:11">
      <c r="G47" s="3" t="s">
        <v>173</v>
      </c>
      <c r="H47" s="3">
        <v>56618221.969999999</v>
      </c>
      <c r="I47" s="3">
        <v>68818386.269999996</v>
      </c>
      <c r="J47" s="3">
        <v>76772178.799999997</v>
      </c>
      <c r="K47" s="3">
        <v>101530746.13</v>
      </c>
    </row>
    <row r="48" spans="7:11">
      <c r="G48" s="3" t="s">
        <v>174</v>
      </c>
      <c r="H48" s="3">
        <v>628626.98</v>
      </c>
      <c r="I48" s="3">
        <v>845939.82</v>
      </c>
      <c r="J48" s="3">
        <v>891829.88</v>
      </c>
      <c r="K48" s="3">
        <v>483927.07</v>
      </c>
    </row>
    <row r="49" spans="7:11">
      <c r="G49" s="3" t="s">
        <v>175</v>
      </c>
      <c r="H49" s="3">
        <v>144989</v>
      </c>
      <c r="I49" s="3">
        <v>256336.76</v>
      </c>
      <c r="J49" s="3">
        <v>226364.96</v>
      </c>
      <c r="K49" s="3">
        <v>218501.35</v>
      </c>
    </row>
    <row r="50" spans="7:11">
      <c r="G50" s="3" t="s">
        <v>176</v>
      </c>
      <c r="H50" s="3">
        <v>5165881.45</v>
      </c>
      <c r="I50" s="3">
        <v>6237648.46</v>
      </c>
      <c r="J50" s="3">
        <v>6134005.4000000004</v>
      </c>
      <c r="K50" s="3">
        <v>4709782.87</v>
      </c>
    </row>
    <row r="51" spans="7:11">
      <c r="G51" s="3" t="s">
        <v>177</v>
      </c>
      <c r="H51" s="3">
        <v>6923754.6900000004</v>
      </c>
      <c r="I51" s="3">
        <v>8769707.0299999993</v>
      </c>
      <c r="J51" s="3">
        <v>9542097</v>
      </c>
      <c r="K51" s="3">
        <v>6335922.7300000004</v>
      </c>
    </row>
    <row r="52" spans="7:11">
      <c r="G52" s="3" t="s">
        <v>178</v>
      </c>
      <c r="H52" s="3">
        <v>97416.71</v>
      </c>
      <c r="I52" s="3">
        <v>102699.18</v>
      </c>
      <c r="J52" s="3">
        <v>97177.56</v>
      </c>
      <c r="K52" s="3">
        <v>60831.4</v>
      </c>
    </row>
    <row r="53" spans="7:11">
      <c r="G53" s="3" t="s">
        <v>179</v>
      </c>
      <c r="H53" s="3">
        <v>8194948.4699999997</v>
      </c>
      <c r="I53" s="3">
        <v>10175615.52</v>
      </c>
      <c r="J53" s="3">
        <v>11001817.43</v>
      </c>
      <c r="K53" s="3">
        <v>11300967.609999999</v>
      </c>
    </row>
    <row r="54" spans="7:11">
      <c r="G54" s="3" t="s">
        <v>180</v>
      </c>
      <c r="H54" s="3">
        <v>489024.23</v>
      </c>
      <c r="I54" s="3">
        <v>606577.93000000005</v>
      </c>
      <c r="J54" s="3">
        <v>958095.01</v>
      </c>
      <c r="K54" s="3">
        <v>794468.3</v>
      </c>
    </row>
    <row r="55" spans="7:11">
      <c r="G55" s="3" t="s">
        <v>181</v>
      </c>
      <c r="H55" s="3">
        <v>52742.47</v>
      </c>
      <c r="I55" s="3">
        <v>81830.42</v>
      </c>
      <c r="J55" s="3">
        <v>95008.320000000007</v>
      </c>
      <c r="K55" s="3">
        <v>37390.629999999997</v>
      </c>
    </row>
    <row r="56" spans="7:11">
      <c r="G56" s="3" t="s">
        <v>182</v>
      </c>
      <c r="H56" s="3">
        <v>209364.38</v>
      </c>
      <c r="I56" s="3">
        <v>275073.24</v>
      </c>
      <c r="J56" s="3">
        <v>306948.71000000002</v>
      </c>
      <c r="K56" s="3">
        <v>212539.98</v>
      </c>
    </row>
    <row r="57" spans="7:11">
      <c r="G57" s="3" t="s">
        <v>183</v>
      </c>
      <c r="H57" s="3">
        <v>36660182.289999999</v>
      </c>
      <c r="I57" s="3">
        <v>44612030.420000002</v>
      </c>
      <c r="J57" s="3">
        <v>52284913.859999999</v>
      </c>
      <c r="K57" s="3">
        <v>57268983.740000002</v>
      </c>
    </row>
    <row r="58" spans="7:11">
      <c r="G58" s="3" t="s">
        <v>184</v>
      </c>
      <c r="H58" s="3">
        <v>2949308.45</v>
      </c>
      <c r="I58" s="3">
        <v>2968387.41</v>
      </c>
      <c r="J58" s="3">
        <v>3056926.93</v>
      </c>
      <c r="K58" s="3">
        <v>2058185.97</v>
      </c>
    </row>
    <row r="59" spans="7:11">
      <c r="G59" s="3" t="s">
        <v>185</v>
      </c>
      <c r="H59" s="3">
        <v>75496.06</v>
      </c>
      <c r="I59" s="3">
        <v>53276.639999999999</v>
      </c>
      <c r="J59" s="3">
        <v>54640.17</v>
      </c>
      <c r="K59" s="3">
        <v>64507.95</v>
      </c>
    </row>
    <row r="60" spans="7:11">
      <c r="G60" s="3" t="s">
        <v>186</v>
      </c>
      <c r="H60" s="3">
        <v>17393418.129999999</v>
      </c>
      <c r="I60" s="3">
        <v>19281467.329999998</v>
      </c>
      <c r="J60" s="3">
        <v>18024427.59</v>
      </c>
      <c r="K60" s="3">
        <v>15952205.359999999</v>
      </c>
    </row>
    <row r="61" spans="7:11">
      <c r="G61" s="3" t="s">
        <v>187</v>
      </c>
      <c r="H61" s="3">
        <v>435057.67</v>
      </c>
      <c r="I61" s="3">
        <v>541842.31999999995</v>
      </c>
      <c r="J61" s="3">
        <v>524413.22</v>
      </c>
      <c r="K61" s="3">
        <v>454859.42</v>
      </c>
    </row>
    <row r="62" spans="7:11">
      <c r="G62" s="3" t="s">
        <v>188</v>
      </c>
      <c r="H62" s="3">
        <v>280678.84999999998</v>
      </c>
      <c r="I62" s="3">
        <v>319844.61</v>
      </c>
      <c r="J62" s="3">
        <v>324800</v>
      </c>
      <c r="K62" s="3">
        <v>160868.28</v>
      </c>
    </row>
    <row r="63" spans="7:11">
      <c r="G63" s="3" t="s">
        <v>189</v>
      </c>
      <c r="H63" s="3">
        <v>8120255.4299999997</v>
      </c>
      <c r="I63" s="3">
        <v>9104198.8200000003</v>
      </c>
      <c r="J63" s="3">
        <v>10240024.68</v>
      </c>
      <c r="K63" s="3">
        <v>7409448.71</v>
      </c>
    </row>
    <row r="64" spans="7:11">
      <c r="G64" s="3" t="s">
        <v>190</v>
      </c>
      <c r="H64" s="3">
        <v>117087.85</v>
      </c>
      <c r="I64" s="3">
        <v>180108.9</v>
      </c>
      <c r="J64" s="3">
        <v>162289.82999999999</v>
      </c>
      <c r="K64" s="3">
        <v>140942.51</v>
      </c>
    </row>
    <row r="65" spans="7:11">
      <c r="G65" s="3" t="s">
        <v>191</v>
      </c>
      <c r="H65" s="3">
        <v>1097949.95</v>
      </c>
      <c r="I65" s="3">
        <v>1242733.53</v>
      </c>
      <c r="J65" s="3">
        <v>1146050.75</v>
      </c>
      <c r="K65" s="3">
        <v>1362647.16</v>
      </c>
    </row>
    <row r="66" spans="7:11">
      <c r="G66" s="3" t="s">
        <v>192</v>
      </c>
      <c r="H66" s="3">
        <v>119580.03</v>
      </c>
      <c r="I66" s="3">
        <v>156956.68</v>
      </c>
      <c r="J66" s="3">
        <v>178121.57</v>
      </c>
      <c r="K66" s="3">
        <v>173838.11</v>
      </c>
    </row>
    <row r="67" spans="7:11">
      <c r="G67" s="3" t="s">
        <v>193</v>
      </c>
      <c r="H67" s="3">
        <v>7934156.1500000004</v>
      </c>
      <c r="I67" s="3">
        <v>8346467.5199999996</v>
      </c>
      <c r="J67" s="3">
        <v>8635291.3599999994</v>
      </c>
      <c r="K67" s="3">
        <v>4948092.13</v>
      </c>
    </row>
    <row r="68" spans="7:11">
      <c r="G68" s="3" t="s">
        <v>194</v>
      </c>
      <c r="H68" s="3">
        <v>286592.05</v>
      </c>
      <c r="I68" s="3">
        <v>378126.6</v>
      </c>
      <c r="J68" s="3">
        <v>311558</v>
      </c>
      <c r="K68" s="3">
        <v>181001.96</v>
      </c>
    </row>
    <row r="69" spans="7:11">
      <c r="G69" s="3" t="s">
        <v>195</v>
      </c>
      <c r="H69" s="3">
        <v>4232732.1900000004</v>
      </c>
      <c r="I69" s="3">
        <v>4892961.01</v>
      </c>
      <c r="J69" s="3">
        <v>5021914.5999999996</v>
      </c>
      <c r="K69" s="3">
        <v>3244784.17</v>
      </c>
    </row>
    <row r="70" spans="7:11">
      <c r="G70" s="3" t="s">
        <v>196</v>
      </c>
      <c r="H70" s="3">
        <v>448949.18</v>
      </c>
      <c r="I70" s="3">
        <v>446362.82</v>
      </c>
      <c r="J70" s="3">
        <v>542841.42000000004</v>
      </c>
      <c r="K70" s="3">
        <v>523826.63</v>
      </c>
    </row>
    <row r="71" spans="7:11">
      <c r="G71" s="3" t="s">
        <v>197</v>
      </c>
      <c r="H71" s="3">
        <v>56026.06</v>
      </c>
      <c r="I71" s="3">
        <v>50885.06</v>
      </c>
      <c r="J71" s="3">
        <v>39338.67</v>
      </c>
      <c r="K71" s="3">
        <v>44145.87</v>
      </c>
    </row>
    <row r="72" spans="7:11">
      <c r="G72" s="3" t="s">
        <v>198</v>
      </c>
      <c r="H72" s="3">
        <v>504180.42</v>
      </c>
      <c r="I72" s="3">
        <v>521273.21</v>
      </c>
      <c r="J72" s="3">
        <v>578223.76</v>
      </c>
      <c r="K72" s="3">
        <v>573398.62</v>
      </c>
    </row>
    <row r="73" spans="7:11">
      <c r="G73" s="3" t="s">
        <v>199</v>
      </c>
      <c r="H73" s="3">
        <v>1245803.98</v>
      </c>
      <c r="I73" s="3">
        <v>1374257.92</v>
      </c>
      <c r="J73" s="3">
        <v>1615981.29</v>
      </c>
      <c r="K73" s="3">
        <v>1186732.54</v>
      </c>
    </row>
    <row r="74" spans="7:11">
      <c r="G74" s="3" t="s">
        <v>200</v>
      </c>
      <c r="H74" s="3">
        <v>3352103.03</v>
      </c>
      <c r="I74" s="3">
        <v>3710457.57</v>
      </c>
      <c r="J74" s="3">
        <v>4318502.54</v>
      </c>
      <c r="K74" s="3">
        <v>2037344.54</v>
      </c>
    </row>
    <row r="75" spans="7:11">
      <c r="G75" s="3" t="s">
        <v>201</v>
      </c>
      <c r="H75" s="3">
        <v>3491120.42</v>
      </c>
      <c r="I75" s="3">
        <v>4628683.13</v>
      </c>
      <c r="J75" s="3">
        <v>4719746.8099999996</v>
      </c>
      <c r="K75" s="3">
        <v>2804838.27</v>
      </c>
    </row>
    <row r="76" spans="7:11">
      <c r="G76" s="3" t="s">
        <v>202</v>
      </c>
      <c r="H76" s="3">
        <v>3294631.56</v>
      </c>
      <c r="I76" s="3">
        <v>3729066.28</v>
      </c>
      <c r="J76" s="3">
        <v>4013014.58</v>
      </c>
      <c r="K76" s="3">
        <v>3382891.29</v>
      </c>
    </row>
    <row r="77" spans="7:11">
      <c r="G77" s="3" t="s">
        <v>203</v>
      </c>
      <c r="H77" s="3">
        <v>4951082.03</v>
      </c>
      <c r="I77" s="3">
        <v>5227954.95</v>
      </c>
      <c r="J77" s="3">
        <v>5383319.2199999997</v>
      </c>
      <c r="K77" s="3">
        <v>5138417.6100000003</v>
      </c>
    </row>
    <row r="78" spans="7:11">
      <c r="G78" s="3" t="s">
        <v>204</v>
      </c>
      <c r="H78" s="3">
        <v>2491964.38</v>
      </c>
      <c r="I78" s="3">
        <v>2805870.46</v>
      </c>
      <c r="J78" s="3">
        <v>2966810.65</v>
      </c>
      <c r="K78" s="3">
        <v>3909943.66</v>
      </c>
    </row>
    <row r="79" spans="7:11">
      <c r="G79" s="3" t="s">
        <v>205</v>
      </c>
      <c r="H79" s="3">
        <v>7669115.9100000001</v>
      </c>
      <c r="I79" s="3">
        <v>8899431.7899999991</v>
      </c>
      <c r="J79" s="3">
        <v>9960827.9000000004</v>
      </c>
      <c r="K79" s="3">
        <v>9241308.3399999999</v>
      </c>
    </row>
    <row r="80" spans="7:11">
      <c r="G80" s="3" t="s">
        <v>206</v>
      </c>
      <c r="H80" s="3">
        <v>2170515.34</v>
      </c>
      <c r="I80" s="3">
        <v>1421538.05</v>
      </c>
      <c r="J80" s="3">
        <v>1972266.03</v>
      </c>
      <c r="K80" s="3">
        <v>2285278.59</v>
      </c>
    </row>
    <row r="81" spans="7:11">
      <c r="G81" s="3" t="s">
        <v>207</v>
      </c>
      <c r="H81" s="3">
        <v>1468049.22</v>
      </c>
      <c r="I81" s="3">
        <v>1512124.38</v>
      </c>
      <c r="J81" s="3">
        <v>1570644.4</v>
      </c>
      <c r="K81" s="3">
        <v>1524963.5</v>
      </c>
    </row>
    <row r="82" spans="7:11">
      <c r="G82" s="3" t="s">
        <v>208</v>
      </c>
      <c r="H82" s="3">
        <v>188240.82</v>
      </c>
      <c r="I82" s="3">
        <v>52037.33</v>
      </c>
      <c r="J82" s="3">
        <v>28408.880000000001</v>
      </c>
      <c r="K82" s="3">
        <v>120064.23</v>
      </c>
    </row>
    <row r="83" spans="7:11">
      <c r="G83" s="3" t="s">
        <v>209</v>
      </c>
      <c r="H83" s="3">
        <v>515403.69</v>
      </c>
      <c r="I83" s="3">
        <v>1083516.76</v>
      </c>
      <c r="J83" s="3">
        <v>1898745.61</v>
      </c>
      <c r="K83" s="3">
        <v>2597770.19</v>
      </c>
    </row>
    <row r="84" spans="7:11">
      <c r="G84" s="3" t="s">
        <v>210</v>
      </c>
      <c r="H84" s="3">
        <v>22430735.059999999</v>
      </c>
      <c r="I84" s="3">
        <v>22546119.32</v>
      </c>
      <c r="J84" s="3">
        <v>24111579.559999999</v>
      </c>
      <c r="K84" s="3">
        <v>46433844.850000001</v>
      </c>
    </row>
    <row r="85" spans="7:11">
      <c r="G85" s="3" t="s">
        <v>211</v>
      </c>
      <c r="H85" s="3">
        <v>12245989.67</v>
      </c>
      <c r="I85" s="3">
        <v>17456440.359999999</v>
      </c>
      <c r="J85" s="3">
        <v>22734137.66</v>
      </c>
      <c r="K85" s="3">
        <v>28602014.800000001</v>
      </c>
    </row>
    <row r="86" spans="7:11">
      <c r="G86" s="3" t="s">
        <v>212</v>
      </c>
      <c r="H86" s="3">
        <v>18406756.809999999</v>
      </c>
      <c r="I86" s="3">
        <v>20336019.489999998</v>
      </c>
      <c r="J86" s="3">
        <v>20718661.859999999</v>
      </c>
      <c r="K86" s="3">
        <v>18112433.870000001</v>
      </c>
    </row>
    <row r="87" spans="7:11">
      <c r="G87" s="3" t="s">
        <v>213</v>
      </c>
      <c r="H87" s="3">
        <v>458436.4</v>
      </c>
      <c r="I87" s="3">
        <v>446485.79</v>
      </c>
      <c r="J87" s="3">
        <v>228320.16</v>
      </c>
      <c r="K87" s="3">
        <v>315453.93</v>
      </c>
    </row>
    <row r="88" spans="7:11">
      <c r="G88" s="3" t="s">
        <v>214</v>
      </c>
      <c r="H88" s="3">
        <v>102341.48</v>
      </c>
      <c r="I88" s="3">
        <v>270352.23</v>
      </c>
      <c r="J88" s="3">
        <v>296260.73</v>
      </c>
      <c r="K88" s="3">
        <v>260231.32</v>
      </c>
    </row>
    <row r="89" spans="7:11">
      <c r="G89" s="3" t="s">
        <v>215</v>
      </c>
      <c r="H89" s="3">
        <v>194398.4</v>
      </c>
      <c r="I89" s="3">
        <v>220551.38</v>
      </c>
      <c r="J89" s="3">
        <v>226903.05</v>
      </c>
      <c r="K89" s="3">
        <v>200635.53</v>
      </c>
    </row>
    <row r="90" spans="7:11">
      <c r="G90" s="3" t="s">
        <v>216</v>
      </c>
      <c r="H90" s="3">
        <v>1092233.95</v>
      </c>
      <c r="I90" s="3">
        <v>1330800.07</v>
      </c>
      <c r="J90" s="3">
        <v>1467110.49</v>
      </c>
      <c r="K90" s="3">
        <v>1403759.67</v>
      </c>
    </row>
    <row r="91" spans="7:11">
      <c r="G91" s="3" t="s">
        <v>217</v>
      </c>
      <c r="H91" s="3">
        <v>18901.53</v>
      </c>
      <c r="I91" s="3">
        <v>20066.169999999998</v>
      </c>
      <c r="J91" s="3">
        <v>17042.21</v>
      </c>
      <c r="K91" s="3">
        <v>17006.64</v>
      </c>
    </row>
    <row r="92" spans="7:11">
      <c r="G92" s="3" t="s">
        <v>98</v>
      </c>
      <c r="H92" s="3">
        <v>397979171.73999995</v>
      </c>
      <c r="I92" s="3">
        <v>461764780.13999993</v>
      </c>
      <c r="J92" s="3">
        <v>498861345.7100001</v>
      </c>
      <c r="K92" s="3">
        <v>524427024.11000019</v>
      </c>
    </row>
  </sheetData>
  <mergeCells count="2">
    <mergeCell ref="A1:E1"/>
    <mergeCell ref="G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2026-07-12T11:57:38Z</dcterms:created>
  <dcterms:modified xsi:type="dcterms:W3CDTF">2026-07-20T23:38:20Z</dcterms:modified>
  <cp:category/>
  <cp:contentStatus/>
</cp:coreProperties>
</file>